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cf497a10c441ac" /></Relationships>
</file>

<file path=xl/workbook.xml><?xml version="1.0" encoding="utf-8"?>
<x:workbook xmlns:x="http://schemas.openxmlformats.org/spreadsheetml/2006/main">
  <x:sheets>
    <x:sheet xmlns:r="http://schemas.openxmlformats.org/officeDocument/2006/relationships" name="Reel Plan" sheetId="1" r:id="Rba5192019e9e4709"/>
    <x:sheet xmlns:r="http://schemas.openxmlformats.org/officeDocument/2006/relationships" name="Scripts and Shots" sheetId="2" r:id="R52f0d2c99f6e4e9d"/>
    <x:sheet xmlns:r="http://schemas.openxmlformats.org/officeDocument/2006/relationships" name="Guide and Mix" sheetId="3" r:id="R841f943073fc40b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sz val="11"/>
      <x:color rgb="FF292929"/>
      <x:name val="Arial"/>
    </x:font>
    <x:font>
      <x:b/>
      <x:sz val="16"/>
      <x:color rgb="FF292929"/>
      <x:name val="Arial"/>
    </x:font>
    <x:font>
      <x:i/>
      <x:sz val="11"/>
      <x:color rgb="FF666666"/>
      <x:name val="Arial"/>
    </x:font>
    <x:font>
      <x:b/>
      <x:sz val="11"/>
      <x:color rgb="FFFFFFFF"/>
      <x:name val="Arial"/>
    </x:font>
    <x:font>
      <x:b/>
      <x:sz val="11"/>
      <x:color rgb="FF80151A"/>
      <x:name val="Arial"/>
    </x:font>
    <x:font>
      <x:b/>
      <x:sz val="11"/>
      <x:color rgb="FF292929"/>
      <x:name val="Arial"/>
    </x:font>
  </x:fonts>
  <x:fills count="5">
    <x:fill>
      <x:patternFill patternType="none"/>
    </x:fill>
    <x:fill>
      <x:patternFill patternType="gray125"/>
    </x:fill>
    <x:fill>
      <x:patternFill patternType="solid">
        <x:fgColor rgb="FF80151A"/>
      </x:patternFill>
    </x:fill>
    <x:fill>
      <x:patternFill patternType="solid">
        <x:fgColor rgb="FFFFFFFF"/>
      </x:patternFill>
    </x:fill>
    <x:fill>
      <x:patternFill patternType="solid">
        <x:fgColor rgb="FFF7F2EC"/>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20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0" fontId="5"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horizontal="righ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200" fontId="6" fillId="0" borderId="0" xfId="0" applyNumberFormat="1" applyFont="1" applyFill="1" applyBorder="1" applyAlignment="1">
      <x:alignment horizontal="right" vertical="top" wrapText="1"/>
    </x:xf>
    <x:xf numFmtId="201" fontId="6" fillId="0" borderId="0" xfId="0" applyNumberFormat="1" applyFont="1" applyFill="1" applyBorder="1" applyAlignment="1">
      <x:alignment horizontal="right" vertical="top" wrapText="1"/>
    </x:xf>
  </x:cellXfs>
  <x:cellStyles count="1">
    <x:cellStyle name="Normal" xfId="0"/>
  </x:cellStyles>
  <x:dxfs count="4">
    <x:dxf>
      <x:font>
        <x:b/>
        <x:color rgb="FF5C4933"/>
      </x:font>
      <x:fill>
        <x:patternFill patternType="solid">
          <x:bgColor rgb="FFEEE4D6"/>
        </x:patternFill>
      </x:fill>
    </x:dxf>
    <x:dxf>
      <x:font>
        <x:b/>
        <x:color rgb="FF3F6B4F"/>
      </x:font>
      <x:fill>
        <x:patternFill patternType="solid">
          <x:bgColor rgb="FFE6EFE8"/>
        </x:patternFill>
      </x:fill>
    </x:dxf>
    <x:dxf>
      <x:font>
        <x:b/>
        <x:color rgb="FF80151A"/>
      </x:font>
      <x:fill>
        <x:patternFill patternType="solid">
          <x:bgColor rgb="FFF4E3E4"/>
        </x:patternFill>
      </x:fill>
    </x:dxf>
    <x:dxf>
      <x:font>
        <x:color rgb="FF6A4B10"/>
      </x:font>
      <x:fill>
        <x:patternFill patternType="solid">
          <x:bgColor rgb="FFFFF1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e0bbd1152643a8" /><Relationship Type="http://schemas.openxmlformats.org/officeDocument/2006/relationships/theme" Target="/xl/theme/theme1.xml" Id="Rcd7d344d157f4600" /><Relationship Type="http://schemas.openxmlformats.org/officeDocument/2006/relationships/sharedStrings" Target="/xl/sharedStrings.xml" Id="Rccd4e13f2adf4108" /><Relationship Type="http://schemas.openxmlformats.org/officeDocument/2006/relationships/worksheet" Target="/xl/worksheets/sheet1.xml" Id="Rba5192019e9e4709" /><Relationship Type="http://schemas.openxmlformats.org/officeDocument/2006/relationships/worksheet" Target="/xl/worksheets/sheet2.xml" Id="R52f0d2c99f6e4e9d" /><Relationship Type="http://schemas.openxmlformats.org/officeDocument/2006/relationships/worksheet" Target="/xl/worksheets/sheet3.xml" Id="R841f943073fc40ba" /></Relationships>
</file>

<file path=xl/tables/table1.xml><?xml version="1.0" encoding="utf-8"?>
<x:table xmlns:x="http://schemas.openxmlformats.org/spreadsheetml/2006/main" id="1" name="AxomRankReelPlan" displayName="AxomRankReelPlan" ref="A5:R95" headerRowCount="1" totalsRowCount="0" totalsRowShown="0">
  <x:autoFilter ref="A5:R95"/>
  <x:tableColumns count="18">
    <x:tableColumn id="1" name="Reel ID"/>
    <x:tableColumn id="2" name="Order"/>
    <x:tableColumn id="3" name="Chapter"/>
    <x:tableColumn id="4" name="Funnel"/>
    <x:tableColumn id="5" name="Pillar"/>
    <x:tableColumn id="6" name="Reel idea"/>
    <x:tableColumn id="7" name="Visual hook 0–3s"/>
    <x:tableColumn id="8" name="Verbal hook 0–3s"/>
    <x:tableColumn id="9" name="Alternate verbal hook"/>
    <x:tableColumn id="10" name="Hook approach"/>
    <x:tableColumn id="11" name="Recording format"/>
    <x:tableColumn id="12" name="Single CTA 26–30s"/>
    <x:tableColumn id="13" name="Thumbnail text"/>
    <x:tableColumn id="14" name="Caption opening"/>
    <x:tableColumn id="15" name="Keywords"/>
    <x:tableColumn id="16" name="Hashtags"/>
    <x:tableColumn id="17" name="Before filming"/>
    <x:tableColumn id="18" name="Fact source IDs"/>
  </x:tableColumns>
  <x:tableStyleInfo name="TableStyleMedium2" showFirstColumn="0" showLastColumn="0" showRowStripes="1" showColumnStripes="0"/>
</x:table>
</file>

<file path=xl/tables/table2.xml><?xml version="1.0" encoding="utf-8"?>
<x:table xmlns:x="http://schemas.openxmlformats.org/spreadsheetml/2006/main" id="2" name="AxomRankReelScripts" displayName="AxomRankReelScripts" ref="A5:K95" headerRowCount="1" totalsRowCount="0" totalsRowShown="0">
  <x:autoFilter ref="A5:K95"/>
  <x:tableColumns count="11">
    <x:tableColumn id="1" name="Reel ID"/>
    <x:tableColumn id="2" name="Reel idea"/>
    <x:tableColumn id="3" name="Duration sec"/>
    <x:tableColumn id="4" name="Complete voiceover"/>
    <x:tableColumn id="5" name="Opening 0–3s"/>
    <x:tableColumn id="6" name="Context beat"/>
    <x:tableColumn id="7" name="Lesson / demonstration beat"/>
    <x:tableColumn id="8" name="Payoff beat"/>
    <x:tableColumn id="9" name="CTA 26–30s"/>
    <x:tableColumn id="10" name="Words"/>
    <x:tableColumn id="11" name="Target words/m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2fad348f594b2b" /></Relationships>
</file>

<file path=xl/worksheets/_rels/sheet2.xml.rels>&#65279;<?xml version="1.0" encoding="utf-8"?><Relationships xmlns="http://schemas.openxmlformats.org/package/2006/relationships"><Relationship Type="http://schemas.openxmlformats.org/officeDocument/2006/relationships/table" Target="/xl/tables/table2.xml" Id="Re5f0e7a679984d6f" /></Relationships>
</file>

<file path=xl/worksheets/sheet1.xml><?xml version="1.0" encoding="utf-8"?>
<x:worksheet xmlns:x="http://schemas.openxmlformats.org/spreadsheetml/2006/main">
  <x:sheetPr>
    <x:tabColor rgb="FF80151A"/>
  </x:sheetPr>
  <x:sheetViews>
    <x:sheetView showGridLines="0" workbookViewId="0">
      <x:pane xSplit="1" ySplit="5" topLeftCell="B6" activePane="bottomRight" state="frozen"/>
    </x:sheetView>
  </x:sheetViews>
  <x:sheetFormatPr defaultRowHeight="15"/>
  <x:cols>
    <x:col min="1" max="1" width="8.670000076293945" hidden="0" customWidth="1"/>
    <x:col min="2" max="2" width="8" hidden="0" customWidth="1"/>
    <x:col min="3" max="3" width="10" hidden="0" customWidth="1"/>
    <x:col min="4" max="4" width="9.109999656677246" hidden="0" customWidth="1"/>
    <x:col min="5" max="5" width="20" hidden="0" customWidth="1"/>
    <x:col min="6" max="6" width="28.329999923706055" hidden="0" customWidth="1"/>
    <x:col min="7" max="7" width="32.220001220703125" hidden="0" customWidth="1"/>
    <x:col min="8" max="8" width="28.329999923706055" hidden="0" customWidth="1"/>
    <x:col min="9" max="9" width="28.329999923706055" hidden="0" customWidth="1"/>
    <x:col min="10" max="10" width="18.889999389648438" hidden="0" customWidth="1"/>
    <x:col min="11" max="11" width="23.329999923706055" hidden="0" customWidth="1"/>
    <x:col min="12" max="12" width="31.670000076293945" hidden="0" customWidth="1"/>
    <x:col min="13" max="13" width="20.559999465942383" hidden="0" customWidth="1"/>
    <x:col min="14" max="14" width="28.889999389648438" hidden="0" customWidth="1"/>
    <x:col min="15" max="15" width="11.109999656677246" hidden="0" customWidth="1"/>
    <x:col min="16" max="16" width="31.670000076293945" hidden="0" customWidth="1"/>
    <x:col min="17" max="17" width="44.439998626708984" hidden="0" customWidth="1"/>
    <x:col min="18" max="18" width="12.220000267028809" hidden="0" customWidth="1"/>
  </x:cols>
  <x:sheetData>
    <x:row r="1">
      <x:c r="A1" s="3"/>
      <x:c r="B1" s="3"/>
      <x:c r="C1" s="3"/>
      <x:c r="D1" s="3"/>
      <x:c r="E1" s="3"/>
      <x:c r="F1" s="3"/>
      <x:c r="G1" s="3"/>
      <x:c r="H1" s="3"/>
      <x:c r="I1" s="3"/>
      <x:c r="J1" s="3"/>
      <x:c r="K1" s="3"/>
      <x:c r="L1" s="3"/>
      <x:c r="M1" s="3"/>
      <x:c r="N1" s="3"/>
      <x:c r="O1" s="3"/>
      <x:c r="P1" s="3"/>
      <x:c r="Q1" s="3"/>
      <x:c r="R1" s="3"/>
    </x:row>
    <x:row r="2" ht="28" customHeight="1">
      <x:c r="A2" s="5" t="str">
        <x:v>AxomRank 90 Reel Ideas</x:v>
      </x:c>
      <x:c r="B2" s="3"/>
      <x:c r="C2" s="3"/>
      <x:c r="D2" s="3"/>
      <x:c r="E2" s="3"/>
      <x:c r="F2" s="3"/>
      <x:c r="G2" s="3"/>
      <x:c r="H2" s="3"/>
      <x:c r="I2" s="3"/>
      <x:c r="J2" s="3"/>
      <x:c r="K2" s="3"/>
      <x:c r="L2" s="3"/>
      <x:c r="M2" s="3"/>
      <x:c r="N2" s="3"/>
      <x:c r="O2" s="3"/>
      <x:c r="P2" s="3"/>
      <x:c r="Q2" s="3"/>
      <x:c r="R2" s="3"/>
    </x:row>
    <x:row r="3" ht="30" customHeight="1">
      <x:c r="A3" s="7" t="str">
        <x:v>Ordered Reel sequence • 30 seconds each • hooks in columns G–I • complete filming scripts on the next sheet</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8" customHeight="1">
      <x:c r="A5" s="12" t="str">
        <x:v>Reel ID</x:v>
      </x:c>
      <x:c r="B5" s="13" t="str">
        <x:v>Order</x:v>
      </x:c>
      <x:c r="C5" s="13" t="str">
        <x:v>Chapter</x:v>
      </x:c>
      <x:c r="D5" s="13" t="str">
        <x:v>Funnel</x:v>
      </x:c>
      <x:c r="E5" s="13" t="str">
        <x:v>Pillar</x:v>
      </x:c>
      <x:c r="F5" s="13" t="str">
        <x:v>Reel idea</x:v>
      </x:c>
      <x:c r="G5" s="13" t="str">
        <x:v>Visual hook 0–3s</x:v>
      </x:c>
      <x:c r="H5" s="13" t="str">
        <x:v>Verbal hook 0–3s</x:v>
      </x:c>
      <x:c r="I5" s="13" t="str">
        <x:v>Alternate verbal hook</x:v>
      </x:c>
      <x:c r="J5" s="13" t="str">
        <x:v>Hook approach</x:v>
      </x:c>
      <x:c r="K5" s="13" t="str">
        <x:v>Recording format</x:v>
      </x:c>
      <x:c r="L5" s="13" t="str">
        <x:v>Single CTA 26–30s</x:v>
      </x:c>
      <x:c r="M5" s="13" t="str">
        <x:v>Thumbnail text</x:v>
      </x:c>
      <x:c r="N5" s="13" t="str">
        <x:v>Caption opening</x:v>
      </x:c>
      <x:c r="O5" s="13" t="str">
        <x:v>Keywords</x:v>
      </x:c>
      <x:c r="P5" s="13" t="str">
        <x:v>Hashtags</x:v>
      </x:c>
      <x:c r="Q5" s="13" t="str">
        <x:v>Before filming</x:v>
      </x:c>
      <x:c r="R5" s="14" t="str">
        <x:v>Fact source IDs</x:v>
      </x:c>
    </x:row>
    <x:row r="6" ht="96" customHeight="1">
      <x:c r="A6" s="15" t="str">
        <x:v>AR001</x:v>
      </x:c>
      <x:c r="B6" s="19" t="n">
        <x:v>1</x:v>
      </x:c>
      <x:c r="C6" s="19" t="n">
        <x:v>1</x:v>
      </x:c>
      <x:c r="D6" s="20" t="str">
        <x:v>TOFU</x:v>
      </x:c>
      <x:c r="E6" s="15" t="str">
        <x:v>Brand introduction</x:v>
      </x:c>
      <x:c r="F6" s="15" t="str">
        <x:v>The actual welcome to AxomRank</x:v>
      </x:c>
      <x:c r="G6" s="23" t="str">
        <x:v>Write 15% of 200=? before showing brand mark.</x:v>
      </x:c>
      <x:c r="H6" s="23" t="str">
        <x:v>Your first AxomRank task is here.</x:v>
      </x:c>
      <x:c r="I6" s="23" t="str">
        <x:v>You can begin with this one question.</x:v>
      </x:c>
      <x:c r="J6" s="15" t="str">
        <x:v>Attempt before reveal</x:v>
      </x:c>
      <x:c r="K6" s="15" t="str">
        <x:v>Overhead props + voiceover</x:v>
      </x:c>
      <x:c r="L6" s="15" t="str">
        <x:v>Follow for your next question.</x:v>
      </x:c>
      <x:c r="M6" s="15" t="str">
        <x:v>YOUR FIRST QUESTION</x:v>
      </x:c>
      <x:c r="N6" s="15" t="str">
        <x:v>A welcome that gives you something to attempt.</x:v>
      </x:c>
      <x:c r="O6" s="15" t="str">
        <x:v>AxomRank, ADRE, Assam exam practice</x:v>
      </x:c>
      <x:c r="P6" s="15" t="str">
        <x:v>#AxomRank #AssamExams #StudyPractice</x:v>
      </x:c>
      <x:c r="Q6" s="15" t="str">
        <x:v>Original practice; no founder credentials or results claims.</x:v>
      </x:c>
      <x:c r="R6" s="15" t="str">
        <x:v>Original / brand brief</x:v>
      </x:c>
    </x:row>
    <x:row r="7" ht="96" customHeight="1">
      <x:c r="A7" s="16" t="str">
        <x:v>AR002</x:v>
      </x:c>
      <x:c r="B7" s="21" t="n">
        <x:v>2</x:v>
      </x:c>
      <x:c r="C7" s="21" t="n">
        <x:v>1</x:v>
      </x:c>
      <x:c r="D7" s="22" t="str">
        <x:v>MOFU</x:v>
      </x:c>
      <x:c r="E7" s="16" t="str">
        <x:v>Beginner practice</x:v>
      </x:c>
      <x:c r="F7" s="16" t="str">
        <x:v>The three-question diagnostic</x:v>
      </x:c>
      <x:c r="G7" s="24" t="str">
        <x:v>Fan out three topic cards.</x:v>
      </x:c>
      <x:c r="H7" s="24" t="str">
        <x:v>Three questions can guide tonight’s revision.</x:v>
      </x:c>
      <x:c r="I7" s="24" t="str">
        <x:v>Which topic needs your next session?</x:v>
      </x:c>
      <x:c r="J7" s="16" t="str">
        <x:v>Attempt before reveal</x:v>
      </x:c>
      <x:c r="K7" s="16" t="str">
        <x:v>Overhead props + voiceover</x:v>
      </x:c>
      <x:c r="L7" s="16" t="str">
        <x:v>Choose that topic for your next session.</x:v>
      </x:c>
      <x:c r="M7" s="16" t="str">
        <x:v>CHOOSE TONIGHT’S TOPIC</x:v>
      </x:c>
      <x:c r="N7" s="16" t="str">
        <x:v>Three attempts can reveal a useful next task.</x:v>
      </x:c>
      <x:c r="O7" s="16" t="str">
        <x:v>diagnostic quiz, maths, revision</x:v>
      </x:c>
      <x:c r="P7" s="16" t="str">
        <x:v>#AxomRank #AssamExams #StudyPractice</x:v>
      </x:c>
      <x:c r="Q7" s="16" t="str">
        <x:v>Original mini-diagnostic; use a pause prompt because three attempts will take more than the spoken window.</x:v>
      </x:c>
      <x:c r="R7" s="16" t="str">
        <x:v>Original / brand brief</x:v>
      </x:c>
    </x:row>
    <x:row r="8" ht="96" customHeight="1">
      <x:c r="A8" s="15" t="str">
        <x:v>AR003</x:v>
      </x:c>
      <x:c r="B8" s="19" t="n">
        <x:v>3</x:v>
      </x:c>
      <x:c r="C8" s="19" t="n">
        <x:v>1</x:v>
      </x:c>
      <x:c r="D8" s="20" t="str">
        <x:v>TOFU</x:v>
      </x:c>
      <x:c r="E8" s="15" t="str">
        <x:v>Beginner guidance</x:v>
      </x:c>
      <x:c r="F8" s="15" t="str">
        <x:v>The first page of preparation</x:v>
      </x:c>
      <x:c r="G8" s="23" t="str">
        <x:v>Open a long handwritten topic list; pencil hovers.</x:v>
      </x:c>
      <x:c r="H8" s="23" t="str">
        <x:v>The syllabus is open. You are stuck.</x:v>
      </x:c>
      <x:c r="I8" s="23" t="str">
        <x:v>Start with a question you can attempt.</x:v>
      </x:c>
      <x:c r="J8" s="15" t="str">
        <x:v>Attempt before reveal</x:v>
      </x:c>
      <x:c r="K8" s="15" t="str">
        <x:v>Overhead props + voiceover</x:v>
      </x:c>
      <x:c r="L8" s="15" t="str">
        <x:v>Follow AxomRank for questions to begin with.</x:v>
      </x:c>
      <x:c r="M8" s="15" t="str">
        <x:v>WHERE DO I START?</x:v>
      </x:c>
      <x:c r="N8" s="15" t="str">
        <x:v>Your first page needs a task you can finish.</x:v>
      </x:c>
      <x:c r="O8" s="15" t="str">
        <x:v>beginner preparation, ADRE, practice</x:v>
      </x:c>
      <x:c r="P8" s="15" t="str">
        <x:v>#AxomRank #AssamExams #StudyPractice</x:v>
      </x:c>
      <x:c r="Q8" s="15" t="str">
        <x:v>Use a generic topic list, not an unverified official syllabus.</x:v>
      </x:c>
      <x:c r="R8" s="15" t="str">
        <x:v>Original / brand brief</x:v>
      </x:c>
    </x:row>
    <x:row r="9" ht="96" customHeight="1">
      <x:c r="A9" s="16" t="str">
        <x:v>AR004</x:v>
      </x:c>
      <x:c r="B9" s="21" t="n">
        <x:v>4</x:v>
      </x:c>
      <x:c r="C9" s="21" t="n">
        <x:v>1</x:v>
      </x:c>
      <x:c r="D9" s="22" t="str">
        <x:v>BOFU</x:v>
      </x:c>
      <x:c r="E9" s="16" t="str">
        <x:v>Product start</x:v>
      </x:c>
      <x:c r="F9" s="16" t="str">
        <x:v>Your first real practice route</x:v>
      </x:c>
      <x:c r="G9" s="24" t="str">
        <x:v>Finger points to real profile practice link.</x:v>
      </x:c>
      <x:c r="H9" s="24" t="str">
        <x:v>Your first attempt starts right here.</x:v>
      </x:c>
      <x:c r="I9" s="24" t="str">
        <x:v>This is where your first attempt begins.</x:v>
      </x:c>
      <x:c r="J9" s="16" t="str">
        <x:v>Show the route</x:v>
      </x:c>
      <x:c r="K9" s="16" t="str">
        <x:v>Real screen demo</x:v>
      </x:c>
      <x:c r="L9" s="16" t="str">
        <x:v>Open the profile link and start this set.</x:v>
      </x:c>
      <x:c r="M9" s="16" t="str">
        <x:v>START HERE</x:v>
      </x:c>
      <x:c r="N9" s="16" t="str">
        <x:v>Your first task should be easy to find.</x:v>
      </x:c>
      <x:c r="O9" s="16" t="str">
        <x:v>AxomRank, start practice, ADRE</x:v>
      </x:c>
      <x:c r="P9" s="16" t="str">
        <x:v>#AxomRank #AssamExams #ExamPractice</x:v>
      </x:c>
      <x:c r="Q9" s="16" t="str">
        <x:v>Capture a working live route and confirm access requirement. Show only a currently available set.</x:v>
      </x:c>
      <x:c r="R9" s="16" t="str">
        <x:v>Original / brand brief</x:v>
      </x:c>
    </x:row>
    <x:row r="10" ht="96" customHeight="1">
      <x:c r="A10" s="15" t="str">
        <x:v>AR005</x:v>
      </x:c>
      <x:c r="B10" s="19" t="n">
        <x:v>5</x:v>
      </x:c>
      <x:c r="C10" s="19" t="n">
        <x:v>1</x:v>
      </x:c>
      <x:c r="D10" s="20" t="str">
        <x:v>TOFU</x:v>
      </x:c>
      <x:c r="E10" s="15" t="str">
        <x:v>Aspirant life</x:v>
      </x:c>
      <x:c r="F10" s="15" t="str">
        <x:v>The book opens after work</x:v>
      </x:c>
      <x:c r="G10" s="23" t="str">
        <x:v>Put a dish down; match-cut to opening a notebook.</x:v>
      </x:c>
      <x:c r="H10" s="23" t="str">
        <x:v>The chores ended. Your session starts now.</x:v>
      </x:c>
      <x:c r="I10" s="23" t="str">
        <x:v>Your study day can start after dinner.</x:v>
      </x:c>
      <x:c r="J10" s="15" t="str">
        <x:v>Recognisable moment</x:v>
      </x:c>
      <x:c r="K10" s="15" t="str">
        <x:v>Creator scene + voiceover</x:v>
      </x:c>
      <x:c r="L10" s="15" t="str">
        <x:v>Share this with your evening study partner.</x:v>
      </x:c>
      <x:c r="M10" s="15" t="str">
        <x:v>AFTER THE DAY</x:v>
      </x:c>
      <x:c r="N10" s="15" t="str">
        <x:v>Your first study hour might be everyone else’s last.</x:v>
      </x:c>
      <x:c r="O10" s="15" t="str">
        <x:v>ADRE, evening study, Assam aspirants</x:v>
      </x:c>
      <x:c r="P10" s="15" t="str">
        <x:v>#AxomRank #AssamExams #AssamAspirants</x:v>
      </x:c>
      <x:c r="Q10" s="15" t="str">
        <x:v>Film an adult creator in their own room; do not present the scene as a student testimonial.</x:v>
      </x:c>
      <x:c r="R10" s="15" t="str">
        <x:v>Original / brand brief</x:v>
      </x:c>
    </x:row>
    <x:row r="11" ht="96" customHeight="1">
      <x:c r="A11" s="16" t="str">
        <x:v>AR006</x:v>
      </x:c>
      <x:c r="B11" s="21" t="n">
        <x:v>6</x:v>
      </x:c>
      <x:c r="C11" s="21" t="n">
        <x:v>1</x:v>
      </x:c>
      <x:c r="D11" s="22" t="str">
        <x:v>MOFU</x:v>
      </x:c>
      <x:c r="E11" s="16" t="str">
        <x:v>Wrong Answer Clinic</x:v>
      </x:c>
      <x:c r="F11" s="16" t="str">
        <x:v>Percentage base clinic</x:v>
      </x:c>
      <x:c r="G11" s="24" t="str">
        <x:v>Circle wrong working “+20 −20=0”.</x:v>
      </x:c>
      <x:c r="H11" s="24" t="str">
        <x:v>Your second percentage uses a new base.</x:v>
      </x:c>
      <x:c r="I11" s="24" t="str">
        <x:v>That second twenty percent has moved.</x:v>
      </x:c>
      <x:c r="J11" s="16" t="str">
        <x:v>Missing step reveal</x:v>
      </x:c>
      <x:c r="K11" s="16" t="str">
        <x:v>Overhead props + voiceover</x:v>
      </x:c>
      <x:c r="L11" s="16" t="str">
        <x:v>Save the method for your next attempt.</x:v>
      </x:c>
      <x:c r="M11" s="16" t="str">
        <x:v>THE BASE MOVED</x:v>
      </x:c>
      <x:c r="N11" s="16" t="str">
        <x:v>Underline the base before you calculate.</x:v>
      </x:c>
      <x:c r="O11" s="16" t="str">
        <x:v>percentage, explanation, maths</x:v>
      </x:c>
      <x:c r="P11" s="16" t="str">
        <x:v>#AxomRank #AssamExams #StudyPractice</x:v>
      </x:c>
      <x:c r="Q11" s="16" t="str">
        <x:v>Original worked example.</x:v>
      </x:c>
      <x:c r="R11" s="16" t="str">
        <x:v>Original / brand brief</x:v>
      </x:c>
    </x:row>
    <x:row r="12" ht="96" customHeight="1">
      <x:c r="A12" s="15" t="str">
        <x:v>AR007</x:v>
      </x:c>
      <x:c r="B12" s="19" t="n">
        <x:v>7</x:v>
      </x:c>
      <x:c r="C12" s="19" t="n">
        <x:v>1</x:v>
      </x:c>
      <x:c r="D12" s="20" t="str">
        <x:v>TOFU</x:v>
      </x:c>
      <x:c r="E12" s="15" t="str">
        <x:v>Assam GK</x:v>
      </x:c>
      <x:c r="F12" s="15" t="str">
        <x:v>The silhouette you recognise</x:v>
      </x:c>
      <x:c r="G12" s="23" t="str">
        <x:v>Reveal Rang Ghar silhouette from behind a card.</x:v>
      </x:c>
      <x:c r="H12" s="23" t="str">
        <x:v>Name the town behind this silhouette.</x:v>
      </x:c>
      <x:c r="I12" s="23" t="str">
        <x:v>You know this outline. Name its town.</x:v>
      </x:c>
      <x:c r="J12" s="15" t="str">
        <x:v>Identify before reveal</x:v>
      </x:c>
      <x:c r="K12" s="15" t="str">
        <x:v>GK card + source reveal</x:v>
      </x:c>
      <x:c r="L12" s="15" t="str">
        <x:v>Comment the place you want us to cover.</x:v>
      </x:c>
      <x:c r="M12" s="15" t="str">
        <x:v>NAME THE TOWN</x:v>
      </x:c>
      <x:c r="N12" s="15" t="str">
        <x:v>The logo contains a revision question.</x:v>
      </x:c>
      <x:c r="O12" s="15" t="str">
        <x:v>Rang Ghar, Sivasagar, Assam GK</x:v>
      </x:c>
      <x:c r="P12" s="15" t="str">
        <x:v>#AxomRank #AssamExams #AssamGK</x:v>
      </x:c>
      <x:c r="Q12" s="15" t="str">
        <x:v>Source S1; use owned/licensed landmark imagery. Avoid disputed dates and oldest-in-Asia claims.</x:v>
      </x:c>
      <x:c r="R12" s="15" t="str">
        <x:v>S1</x:v>
      </x:c>
    </x:row>
    <x:row r="13" ht="96" customHeight="1">
      <x:c r="A13" s="16" t="str">
        <x:v>AR008</x:v>
      </x:c>
      <x:c r="B13" s="21" t="n">
        <x:v>8</x:v>
      </x:c>
      <x:c r="C13" s="21" t="n">
        <x:v>1</x:v>
      </x:c>
      <x:c r="D13" s="22" t="str">
        <x:v>MOFU</x:v>
      </x:c>
      <x:c r="E13" s="16" t="str">
        <x:v>Maths explanation</x:v>
      </x:c>
      <x:c r="F13" s="16" t="str">
        <x:v>Ratio shares need a total</x:v>
      </x:c>
      <x:c r="G13" s="24" t="str">
        <x:v>Place 2:3 card above ₹50 practice total.</x:v>
      </x:c>
      <x:c r="H13" s="24" t="str">
        <x:v>Two to three. Divide fifty.</x:v>
      </x:c>
      <x:c r="I13" s="24" t="str">
        <x:v>The smaller share is not two rupees.</x:v>
      </x:c>
      <x:c r="J13" s="16" t="str">
        <x:v>Missing step reveal</x:v>
      </x:c>
      <x:c r="K13" s="16" t="str">
        <x:v>Overhead props + voiceover</x:v>
      </x:c>
      <x:c r="L13" s="16" t="str">
        <x:v>Save this five-box method.</x:v>
      </x:c>
      <x:c r="M13" s="16" t="str">
        <x:v>DIVIDE ₹50</x:v>
      </x:c>
      <x:c r="N13" s="16" t="str">
        <x:v>Ratios count parts before they divide the total.</x:v>
      </x:c>
      <x:c r="O13" s="16" t="str">
        <x:v>ratio, original practice, arithmetic</x:v>
      </x:c>
      <x:c r="P13" s="16" t="str">
        <x:v>#AxomRank #AssamExams #StudyPractice</x:v>
      </x:c>
      <x:c r="Q13" s="16" t="str">
        <x:v>Original practice; currency is an arithmetic prop.</x:v>
      </x:c>
      <x:c r="R13" s="16" t="str">
        <x:v>Original / brand brief</x:v>
      </x:c>
    </x:row>
    <x:row r="14" ht="96" customHeight="1">
      <x:c r="A14" s="15" t="str">
        <x:v>AR009</x:v>
      </x:c>
      <x:c r="B14" s="19" t="n">
        <x:v>9</x:v>
      </x:c>
      <x:c r="C14" s="19" t="n">
        <x:v>1</x:v>
      </x:c>
      <x:c r="D14" s="20" t="str">
        <x:v>BOFU</x:v>
      </x:c>
      <x:c r="E14" s="15" t="str">
        <x:v>Mock start</x:v>
      </x:c>
      <x:c r="F14" s="15" t="str">
        <x:v>What the mock instructions say</x:v>
      </x:c>
      <x:c r="G14" s="23" t="str">
        <x:v>Hover finger above real Start button.</x:v>
      </x:c>
      <x:c r="H14" s="23" t="str">
        <x:v>Read this before starting the mock.</x:v>
      </x:c>
      <x:c r="I14" s="23" t="str">
        <x:v>Read this screen before you press start.</x:v>
      </x:c>
      <x:c r="J14" s="15" t="str">
        <x:v>Show the route</x:v>
      </x:c>
      <x:c r="K14" s="15" t="str">
        <x:v>Real screen demo</x:v>
      </x:c>
      <x:c r="L14" s="15" t="str">
        <x:v>Start the shown mock through our profile link.</x:v>
      </x:c>
      <x:c r="M14" s="15" t="str">
        <x:v>BEFORE YOU START</x:v>
      </x:c>
      <x:c r="N14" s="15" t="str">
        <x:v>The instructions tell you what you are starting.</x:v>
      </x:c>
      <x:c r="O14" s="15" t="str">
        <x:v>mock tests, AxomRank, practice start</x:v>
      </x:c>
      <x:c r="P14" s="15" t="str">
        <x:v>#AxomRank #AssamExams #ExamPractice</x:v>
      </x:c>
      <x:c r="Q14" s="15" t="str">
        <x:v>Confirm a live mock and its rules; no invented duration, scoring or free-access claim.</x:v>
      </x:c>
      <x:c r="R14" s="15" t="str">
        <x:v>Original / brand brief</x:v>
      </x:c>
    </x:row>
    <x:row r="15" ht="96" customHeight="1">
      <x:c r="A15" s="16" t="str">
        <x:v>AR010</x:v>
      </x:c>
      <x:c r="B15" s="21" t="n">
        <x:v>10</x:v>
      </x:c>
      <x:c r="C15" s="21" t="n">
        <x:v>1</x:v>
      </x:c>
      <x:c r="D15" s="22" t="str">
        <x:v>TOFU</x:v>
      </x:c>
      <x:c r="E15" s="16" t="str">
        <x:v>Study habits</x:v>
      </x:c>
      <x:c r="F15" s="16" t="str">
        <x:v>A saved post meets a blank notebook</x:v>
      </x:c>
      <x:c r="G15" s="24" t="str">
        <x:v>Swipe a staged saved-post folder; cut to blank paper.</x:v>
      </x:c>
      <x:c r="H15" s="24" t="str">
        <x:v>Saved again. Attempted yet?</x:v>
      </x:c>
      <x:c r="I15" s="24" t="str">
        <x:v>How many saved lessons became attempted questions?</x:v>
      </x:c>
      <x:c r="J15" s="16" t="str">
        <x:v>Attempt before reveal</x:v>
      </x:c>
      <x:c r="K15" s="16" t="str">
        <x:v>Overhead props + voiceover</x:v>
      </x:c>
      <x:c r="L15" s="16" t="str">
        <x:v>Send this to your lesson-saving friend.</x:v>
      </x:c>
      <x:c r="M15" s="16" t="str">
        <x:v>SAVED AGAIN</x:v>
      </x:c>
      <x:c r="N15" s="16" t="str">
        <x:v>The save button cannot write your working.</x:v>
      </x:c>
      <x:c r="O15" s="16" t="str">
        <x:v>exam practice, study habits, revision</x:v>
      </x:c>
      <x:c r="P15" s="16" t="str">
        <x:v>#AxomRank #AssamExams #StudyPractice</x:v>
      </x:c>
      <x:c r="Q15" s="16" t="str">
        <x:v>Use a creator-made saved folder; avoid showing another creator’s content without permission.</x:v>
      </x:c>
      <x:c r="R15" s="16" t="str">
        <x:v>Original / brand brief</x:v>
      </x:c>
    </x:row>
    <x:row r="16" ht="96" customHeight="1">
      <x:c r="A16" s="15" t="str">
        <x:v>AR011</x:v>
      </x:c>
      <x:c r="B16" s="19" t="n">
        <x:v>11</x:v>
      </x:c>
      <x:c r="C16" s="19" t="n">
        <x:v>1</x:v>
      </x:c>
      <x:c r="D16" s="20" t="str">
        <x:v>TOFU</x:v>
      </x:c>
      <x:c r="E16" s="15" t="str">
        <x:v>Everyday maths</x:v>
      </x:c>
      <x:c r="F16" s="15" t="str">
        <x:v>₹100 becomes ₹96</x:v>
      </x:c>
      <x:c r="G16" s="23" t="str">
        <x:v>Place ₹100 card between +20% and −20% cards.</x:v>
      </x:c>
      <x:c r="H16" s="23" t="str">
        <x:v>Up twenty. Down twenty. Still one hundred?</x:v>
      </x:c>
      <x:c r="I16" s="23" t="str">
        <x:v>Up twenty, down twenty. Back to where?</x:v>
      </x:c>
      <x:c r="J16" s="15" t="str">
        <x:v>Attempt before reveal</x:v>
      </x:c>
      <x:c r="K16" s="15" t="str">
        <x:v>Overhead props + voiceover</x:v>
      </x:c>
      <x:c r="L16" s="15" t="str">
        <x:v>Comment your answer before the next replay.</x:v>
      </x:c>
      <x:c r="M16" s="15" t="str">
        <x:v>BACK TO 100?</x:v>
      </x:c>
      <x:c r="N16" s="15" t="str">
        <x:v>The second percentage has a different starting point.</x:v>
      </x:c>
      <x:c r="O16" s="15" t="str">
        <x:v>percentage, original practice, maths</x:v>
      </x:c>
      <x:c r="P16" s="15" t="str">
        <x:v>#AxomRank #AssamExams #StudyPractice</x:v>
      </x:c>
      <x:c r="Q16" s="15" t="str">
        <x:v>Original arithmetic example: 100×1.2×0.8=96; labels must remain on screen through the reveal.</x:v>
      </x:c>
      <x:c r="R16" s="15" t="str">
        <x:v>Original / brand brief</x:v>
      </x:c>
    </x:row>
    <x:row r="17" ht="96" customHeight="1">
      <x:c r="A17" s="16" t="str">
        <x:v>AR012</x:v>
      </x:c>
      <x:c r="B17" s="21" t="n">
        <x:v>12</x:v>
      </x:c>
      <x:c r="C17" s="21" t="n">
        <x:v>1</x:v>
      </x:c>
      <x:c r="D17" s="22" t="str">
        <x:v>MOFU</x:v>
      </x:c>
      <x:c r="E17" s="16" t="str">
        <x:v>Maths explanation</x:v>
      </x:c>
      <x:c r="F17" s="16" t="str">
        <x:v>Average means total over count</x:v>
      </x:c>
      <x:c r="G17" s="24" t="str">
        <x:v>Place three numbered cards under a division sign.</x:v>
      </x:c>
      <x:c r="H17" s="24" t="str">
        <x:v>Three numbers. Count before dividing.</x:v>
      </x:c>
      <x:c r="I17" s="24" t="str">
        <x:v>Why are we dividing by three?</x:v>
      </x:c>
      <x:c r="J17" s="16" t="str">
        <x:v>Missing step reveal</x:v>
      </x:c>
      <x:c r="K17" s="16" t="str">
        <x:v>Overhead props + voiceover</x:v>
      </x:c>
      <x:c r="L17" s="16" t="str">
        <x:v>Save this average-check method.</x:v>
      </x:c>
      <x:c r="M17" s="16" t="str">
        <x:v>COUNT THE VALUES</x:v>
      </x:c>
      <x:c r="N17" s="16" t="str">
        <x:v>The denominator comes from the number of values.</x:v>
      </x:c>
      <x:c r="O17" s="16" t="str">
        <x:v>average, explanation, quantitative aptitude</x:v>
      </x:c>
      <x:c r="P17" s="16" t="str">
        <x:v>#AxomRank #AssamExams #StudyPractice</x:v>
      </x:c>
      <x:c r="Q17" s="16" t="str">
        <x:v>Original arithmetic example; do not imply all averages equal the middle value.</x:v>
      </x:c>
      <x:c r="R17" s="16" t="str">
        <x:v>Original / brand brief</x:v>
      </x:c>
    </x:row>
    <x:row r="18" ht="96" customHeight="1">
      <x:c r="A18" s="15" t="str">
        <x:v>AR013</x:v>
      </x:c>
      <x:c r="B18" s="19" t="n">
        <x:v>13</x:v>
      </x:c>
      <x:c r="C18" s="19" t="n">
        <x:v>1</x:v>
      </x:c>
      <x:c r="D18" s="20" t="str">
        <x:v>TOFU</x:v>
      </x:c>
      <x:c r="E18" s="15" t="str">
        <x:v>Aspirant life</x:v>
      </x:c>
      <x:c r="F18" s="15" t="str">
        <x:v>Your desk does not need a makeover</x:v>
      </x:c>
      <x:c r="G18" s="23" t="str">
        <x:v>Push decorative desk items aside to reveal notebook.</x:v>
      </x:c>
      <x:c r="H18" s="23" t="str">
        <x:v>This desk is already ready.</x:v>
      </x:c>
      <x:c r="I18" s="23" t="str">
        <x:v>This ordinary corner is enough to begin.</x:v>
      </x:c>
      <x:c r="J18" s="15" t="str">
        <x:v>Recognisable moment</x:v>
      </x:c>
      <x:c r="K18" s="15" t="str">
        <x:v>Creator scene + voiceover</x:v>
      </x:c>
      <x:c r="L18" s="15" t="str">
        <x:v>Tell us what stays on your study desk.</x:v>
      </x:c>
      <x:c r="M18" s="15" t="str">
        <x:v>READY ENOUGH</x:v>
      </x:c>
      <x:c r="N18" s="15" t="str">
        <x:v>A useful study corner can look ordinary.</x:v>
      </x:c>
      <x:c r="O18" s="15" t="str">
        <x:v>study desk, student life, Assam</x:v>
      </x:c>
      <x:c r="P18" s="15" t="str">
        <x:v>#AxomRank #AssamExams #AssamAspirants</x:v>
      </x:c>
      <x:c r="Q18" s="15" t="str">
        <x:v>Use the creator’s own space; no claims that desk design changes exam outcomes.</x:v>
      </x:c>
      <x:c r="R18" s="15" t="str">
        <x:v>Original / brand brief</x:v>
      </x:c>
    </x:row>
    <x:row r="19" ht="96" customHeight="1">
      <x:c r="A19" s="16" t="str">
        <x:v>AR014</x:v>
      </x:c>
      <x:c r="B19" s="21" t="n">
        <x:v>14</x:v>
      </x:c>
      <x:c r="C19" s="21" t="n">
        <x:v>1</x:v>
      </x:c>
      <x:c r="D19" s="22" t="str">
        <x:v>BOFU</x:v>
      </x:c>
      <x:c r="E19" s="16" t="str">
        <x:v>Product evaluation</x:v>
      </x:c>
      <x:c r="F19" s="16" t="str">
        <x:v>See an explanation before choosing</x:v>
      </x:c>
      <x:c r="G19" s="24" t="str">
        <x:v>Zoom past real correct-option label to explanation.</x:v>
      </x:c>
      <x:c r="H19" s="24" t="str">
        <x:v>Look beyond the answer letter.</x:v>
      </x:c>
      <x:c r="I19" s="24" t="str">
        <x:v>Check what follows the answer.</x:v>
      </x:c>
      <x:c r="J19" s="16" t="str">
        <x:v>Show the route</x:v>
      </x:c>
      <x:c r="K19" s="16" t="str">
        <x:v>Real screen demo</x:v>
      </x:c>
      <x:c r="L19" s="16" t="str">
        <x:v>Open the linked sample and attempt it.</x:v>
      </x:c>
      <x:c r="M19" s="16" t="str">
        <x:v>BEYOND THE LETTER</x:v>
      </x:c>
      <x:c r="N19" s="16" t="str">
        <x:v>An explanation is something you can inspect.</x:v>
      </x:c>
      <x:c r="O19" s="16" t="str">
        <x:v>sample question, AxomRank, explanations</x:v>
      </x:c>
      <x:c r="P19" s="16" t="str">
        <x:v>#AxomRank #AssamExams #ExamPractice</x:v>
      </x:c>
      <x:c r="Q19" s="16" t="str">
        <x:v>Use an accessible, verified sample with explanation; replace CTA destination if sample access changes.</x:v>
      </x:c>
      <x:c r="R19" s="16" t="str">
        <x:v>Original / brand brief</x:v>
      </x:c>
    </x:row>
    <x:row r="20" ht="96" customHeight="1">
      <x:c r="A20" s="15" t="str">
        <x:v>AR015</x:v>
      </x:c>
      <x:c r="B20" s="19" t="n">
        <x:v>15</x:v>
      </x:c>
      <x:c r="C20" s="19" t="n">
        <x:v>1</x:v>
      </x:c>
      <x:c r="D20" s="20" t="str">
        <x:v>TOFU</x:v>
      </x:c>
      <x:c r="E20" s="15" t="str">
        <x:v>Everyday maths</x:v>
      </x:c>
      <x:c r="F20" s="15" t="str">
        <x:v>Three cups and one change mistake</x:v>
      </x:c>
      <x:c r="G20" s="23" t="str">
        <x:v>Set down three cups and a mock ₹100 note.</x:v>
      </x:c>
      <x:c r="H20" s="23" t="str">
        <x:v>Three cups. Check your change.</x:v>
      </x:c>
      <x:c r="I20" s="23" t="str">
        <x:v>The bill is sixty. What comes back?</x:v>
      </x:c>
      <x:c r="J20" s="15" t="str">
        <x:v>Attempt before reveal</x:v>
      </x:c>
      <x:c r="K20" s="15" t="str">
        <x:v>Overhead props + voiceover</x:v>
      </x:c>
      <x:c r="L20" s="15" t="str">
        <x:v>Send this question to your tea companion.</x:v>
      </x:c>
      <x:c r="M20" s="15" t="str">
        <x:v>CHECK THE CHANGE</x:v>
      </x:c>
      <x:c r="N20" s="15" t="str">
        <x:v>Tea break, two calculations, one answer.</x:v>
      </x:c>
      <x:c r="O20" s="15" t="str">
        <x:v>arithmetic, Assam tea, quick quiz</x:v>
      </x:c>
      <x:c r="P20" s="15" t="str">
        <x:v>#AxomRank #AssamExams #StudyPractice</x:v>
      </x:c>
      <x:c r="Q20" s="15" t="str">
        <x:v>Prices are invented practice values, not a claim about a local café.</x:v>
      </x:c>
      <x:c r="R20" s="15" t="str">
        <x:v>Original / brand brief</x:v>
      </x:c>
    </x:row>
    <x:row r="21" ht="96" customHeight="1">
      <x:c r="A21" s="16" t="str">
        <x:v>AR016</x:v>
      </x:c>
      <x:c r="B21" s="21" t="n">
        <x:v>16</x:v>
      </x:c>
      <x:c r="C21" s="21" t="n">
        <x:v>1</x:v>
      </x:c>
      <x:c r="D21" s="22" t="str">
        <x:v>MOFU</x:v>
      </x:c>
      <x:c r="E21" s="16" t="str">
        <x:v>Mock review</x:v>
      </x:c>
      <x:c r="F21" s="16" t="str">
        <x:v>A useful wrong-answer note</x:v>
      </x:c>
      <x:c r="G21" s="24" t="str">
        <x:v>Cross out vague note “bad at maths”.</x:v>
      </x:c>
      <x:c r="H21" s="24" t="str">
        <x:v>Write the step you missed.</x:v>
      </x:c>
      <x:c r="I21" s="24" t="str">
        <x:v>Your mistake note needs the missing step.</x:v>
      </x:c>
      <x:c r="J21" s="16" t="str">
        <x:v>Attempt before reveal</x:v>
      </x:c>
      <x:c r="K21" s="16" t="str">
        <x:v>Overhead props + voiceover</x:v>
      </x:c>
      <x:c r="L21" s="16" t="str">
        <x:v>Save this mistake-note example.</x:v>
      </x:c>
      <x:c r="M21" s="16" t="str">
        <x:v>WRITE THE STEP</x:v>
      </x:c>
      <x:c r="N21" s="16" t="str">
        <x:v>A mistake note should tell you what to do next.</x:v>
      </x:c>
      <x:c r="O21" s="16" t="str">
        <x:v>mock review, mistake notebook, study method</x:v>
      </x:c>
      <x:c r="P21" s="16" t="str">
        <x:v>#AxomRank #AssamExams #StudyPractice</x:v>
      </x:c>
      <x:c r="Q21" s="16" t="str">
        <x:v>Demonstration notebook, not a real learner’s record; label it “example review”.</x:v>
      </x:c>
      <x:c r="R21" s="16" t="str">
        <x:v>Original / brand brief</x:v>
      </x:c>
    </x:row>
    <x:row r="22" ht="96" customHeight="1">
      <x:c r="A22" s="15" t="str">
        <x:v>AR017</x:v>
      </x:c>
      <x:c r="B22" s="19" t="n">
        <x:v>17</x:v>
      </x:c>
      <x:c r="C22" s="19" t="n">
        <x:v>1</x:v>
      </x:c>
      <x:c r="D22" s="20" t="str">
        <x:v>TOFU</x:v>
      </x:c>
      <x:c r="E22" s="15" t="str">
        <x:v>Aspirant life</x:v>
      </x:c>
      <x:c r="F22" s="15" t="str">
        <x:v>One seat on the bus</x:v>
      </x:c>
      <x:c r="G22" s="23" t="str">
        <x:v>Seat-side close-up of phone displaying 2,4,8,16,?.</x:v>
      </x:c>
      <x:c r="H22" s="23" t="str">
        <x:v>One bus ride. One question.</x:v>
      </x:c>
      <x:c r="I22" s="23" t="str">
        <x:v>Your journey can carry one small question.</x:v>
      </x:c>
      <x:c r="J22" s="15" t="str">
        <x:v>Recognisable moment</x:v>
      </x:c>
      <x:c r="K22" s="15" t="str">
        <x:v>Creator scene + voiceover</x:v>
      </x:c>
      <x:c r="L22" s="15" t="str">
        <x:v>Share this with your commuting study friend.</x:v>
      </x:c>
      <x:c r="M22" s="15" t="str">
        <x:v>ONE RIDE, ONE QUESTION</x:v>
      </x:c>
      <x:c r="N22" s="15" t="str">
        <x:v>What can you attempt before your stop?</x:v>
      </x:c>
      <x:c r="O22" s="15" t="str">
        <x:v>number series, student commute, reasoning</x:v>
      </x:c>
      <x:c r="P22" s="15" t="str">
        <x:v>#AxomRank #AssamExams #AssamAspirants</x:v>
      </x:c>
      <x:c r="Q22" s="15" t="str">
        <x:v>Film only while safely seated; make the stipulated doubling rule explicit.</x:v>
      </x:c>
      <x:c r="R22" s="15" t="str">
        <x:v>Original / brand brief</x:v>
      </x:c>
    </x:row>
    <x:row r="23" ht="96" customHeight="1">
      <x:c r="A23" s="16" t="str">
        <x:v>AR018</x:v>
      </x:c>
      <x:c r="B23" s="21" t="n">
        <x:v>18</x:v>
      </x:c>
      <x:c r="C23" s="21" t="n">
        <x:v>1</x:v>
      </x:c>
      <x:c r="D23" s="22" t="str">
        <x:v>MOFU</x:v>
      </x:c>
      <x:c r="E23" s="16" t="str">
        <x:v>Question provenance</x:v>
      </x:c>
      <x:c r="F23" s="16" t="str">
        <x:v>Practice question or PYQ</x:v>
      </x:c>
      <x:c r="G23" s="24" t="str">
        <x:v>Put ORIGINAL PRACTICE and PYQ labels beside one card.</x:v>
      </x:c>
      <x:c r="H23" s="24" t="str">
        <x:v>A PYQ label needs a source.</x:v>
      </x:c>
      <x:c r="I23" s="24" t="str">
        <x:v>A question label needs evidence behind it.</x:v>
      </x:c>
      <x:c r="J23" s="16" t="str">
        <x:v>Missing step reveal</x:v>
      </x:c>
      <x:c r="K23" s="16" t="str">
        <x:v>Overhead props + voiceover</x:v>
      </x:c>
      <x:c r="L23" s="16" t="str">
        <x:v>Save this question-label checklist.</x:v>
      </x:c>
      <x:c r="M23" s="16" t="str">
        <x:v>CHECK THE LABEL</x:v>
      </x:c>
      <x:c r="N23" s="16" t="str">
        <x:v>A convincing label is not a source.</x:v>
      </x:c>
      <x:c r="O23" s="16" t="str">
        <x:v>PYQ, exam sources, practice questions</x:v>
      </x:c>
      <x:c r="P23" s="16" t="str">
        <x:v>#AxomRank #AssamExams #StudyPractice</x:v>
      </x:c>
      <x:c r="Q23" s="16" t="str">
        <x:v>Use generic blank source fields unless a real paper and official key are supplied.</x:v>
      </x:c>
      <x:c r="R23" s="16" t="str">
        <x:v>Original / brand brief</x:v>
      </x:c>
    </x:row>
    <x:row r="24" ht="96" customHeight="1">
      <x:c r="A24" s="15" t="str">
        <x:v>AR019</x:v>
      </x:c>
      <x:c r="B24" s="19" t="n">
        <x:v>19</x:v>
      </x:c>
      <x:c r="C24" s="19" t="n">
        <x:v>1</x:v>
      </x:c>
      <x:c r="D24" s="20" t="str">
        <x:v>BOFU</x:v>
      </x:c>
      <x:c r="E24" s="15" t="str">
        <x:v>Topic practice</x:v>
      </x:c>
      <x:c r="F24" s="15" t="str">
        <x:v>Find the topic you just missed</x:v>
      </x:c>
      <x:c r="G24" s="23" t="str">
        <x:v>Point from corrected base to real topic menu.</x:v>
      </x:c>
      <x:c r="H24" s="23" t="str">
        <x:v>Take this mistake to topic practice.</x:v>
      </x:c>
      <x:c r="I24" s="23" t="str">
        <x:v>Turn this mistake into your next set.</x:v>
      </x:c>
      <x:c r="J24" s="15" t="str">
        <x:v>Show the route</x:v>
      </x:c>
      <x:c r="K24" s="15" t="str">
        <x:v>Real screen demo</x:v>
      </x:c>
      <x:c r="L24" s="15" t="str">
        <x:v>Open the linked percentage practice set.</x:v>
      </x:c>
      <x:c r="M24" s="15" t="str">
        <x:v>USE THE CORRECTED BASE</x:v>
      </x:c>
      <x:c r="N24" s="15" t="str">
        <x:v>The next question can use the method you just learned.</x:v>
      </x:c>
      <x:c r="O24" s="15" t="str">
        <x:v>topic practice, percentage, AxomRank</x:v>
      </x:c>
      <x:c r="P24" s="15" t="str">
        <x:v>#AxomRank #AssamExams #ExamPractice</x:v>
      </x:c>
      <x:c r="Q24" s="15" t="str">
        <x:v>Publish only after verifying a live percentage set and link; otherwise select another available topic and align the lesson.</x:v>
      </x:c>
      <x:c r="R24" s="15" t="str">
        <x:v>Original / brand brief</x:v>
      </x:c>
    </x:row>
    <x:row r="25" ht="96" customHeight="1">
      <x:c r="A25" s="16" t="str">
        <x:v>AR020</x:v>
      </x:c>
      <x:c r="B25" s="21" t="n">
        <x:v>20</x:v>
      </x:c>
      <x:c r="C25" s="21" t="n">
        <x:v>1</x:v>
      </x:c>
      <x:c r="D25" s="22" t="str">
        <x:v>TOFU</x:v>
      </x:c>
      <x:c r="E25" s="16" t="str">
        <x:v>Community</x:v>
      </x:c>
      <x:c r="F25" s="16" t="str">
        <x:v>The friend asks a better question</x:v>
      </x:c>
      <x:c r="G25" s="24" t="str">
        <x:v>Two friends swap cards saying “What did you attempt?”</x:v>
      </x:c>
      <x:c r="H25" s="24" t="str">
        <x:v>Ask what they attempted today.</x:v>
      </x:c>
      <x:c r="I25" s="24" t="str">
        <x:v>Ask your friend what they attempted today.</x:v>
      </x:c>
      <x:c r="J25" s="16" t="str">
        <x:v>Participation prompt</x:v>
      </x:c>
      <x:c r="K25" s="16" t="str">
        <x:v>Creator-led invitation</x:v>
      </x:c>
      <x:c r="L25" s="16" t="str">
        <x:v>Send this to your practice partner.</x:v>
      </x:c>
      <x:c r="M25" s="16" t="str">
        <x:v>ASK ABOUT THE ATTEMPT</x:v>
      </x:c>
      <x:c r="N25" s="16" t="str">
        <x:v>A study partner can ask a more useful question.</x:v>
      </x:c>
      <x:c r="O25" s="16" t="str">
        <x:v>study partner, exam practice, community</x:v>
      </x:c>
      <x:c r="P25" s="16" t="str">
        <x:v>#AxomRank #AssamExams #AssamAspirants</x:v>
      </x:c>
      <x:c r="Q25" s="16" t="str">
        <x:v>Use consenting adult performers; do not fabricate actual student outcomes.</x:v>
      </x:c>
      <x:c r="R25" s="16" t="str">
        <x:v>Original / brand brief</x:v>
      </x:c>
    </x:row>
    <x:row r="26" ht="96" customHeight="1">
      <x:c r="A26" s="15" t="str">
        <x:v>AR021</x:v>
      </x:c>
      <x:c r="B26" s="19" t="n">
        <x:v>21</x:v>
      </x:c>
      <x:c r="C26" s="19" t="n">
        <x:v>1</x:v>
      </x:c>
      <x:c r="D26" s="20" t="str">
        <x:v>TOFU</x:v>
      </x:c>
      <x:c r="E26" s="15" t="str">
        <x:v>Everyday maths</x:v>
      </x:c>
      <x:c r="F26" s="15" t="str">
        <x:v>Half the price twice</x:v>
      </x:c>
      <x:c r="G26" s="23" t="str">
        <x:v>Stick two 50% OFF labels over a ₹200 card.</x:v>
      </x:c>
      <x:c r="H26" s="23" t="str">
        <x:v>Half price twice. Is it free?</x:v>
      </x:c>
      <x:c r="I26" s="23" t="str">
        <x:v>Two half-price labels do not mean free.</x:v>
      </x:c>
      <x:c r="J26" s="15" t="str">
        <x:v>Attempt before reveal</x:v>
      </x:c>
      <x:c r="K26" s="15" t="str">
        <x:v>Overhead props + voiceover</x:v>
      </x:c>
      <x:c r="L26" s="15" t="str">
        <x:v>Share this before your next sale-scroll.</x:v>
      </x:c>
      <x:c r="M26" s="15" t="str">
        <x:v>TWO HALF-PRICE LABELS</x:v>
      </x:c>
      <x:c r="N26" s="15" t="str">
        <x:v>Two discount stickers, two different bases.</x:v>
      </x:c>
      <x:c r="O26" s="15" t="str">
        <x:v>discount maths, percentage, arithmetic</x:v>
      </x:c>
      <x:c r="P26" s="15" t="str">
        <x:v>#AxomRank #AssamExams #StudyPractice</x:v>
      </x:c>
      <x:c r="Q26" s="15" t="str">
        <x:v>Original practice: 200×0.5×0.5=50. No real store or offer implied.</x:v>
      </x:c>
      <x:c r="R26" s="15" t="str">
        <x:v>Original / brand brief</x:v>
      </x:c>
    </x:row>
    <x:row r="27" ht="96" customHeight="1">
      <x:c r="A27" s="16" t="str">
        <x:v>AR022</x:v>
      </x:c>
      <x:c r="B27" s="21" t="n">
        <x:v>22</x:v>
      </x:c>
      <x:c r="C27" s="21" t="n">
        <x:v>1</x:v>
      </x:c>
      <x:c r="D27" s="22" t="str">
        <x:v>MOFU</x:v>
      </x:c>
      <x:c r="E27" s="16" t="str">
        <x:v>Question reading</x:v>
      </x:c>
      <x:c r="F27" s="16" t="str">
        <x:v>Reading the word except</x:v>
      </x:c>
      <x:c r="G27" s="24" t="str">
        <x:v>Underline EXCEPT in large type.</x:v>
      </x:c>
      <x:c r="H27" s="24" t="str">
        <x:v>Circle the word except first.</x:v>
      </x:c>
      <x:c r="I27" s="24" t="str">
        <x:v>One word can change the answer.</x:v>
      </x:c>
      <x:c r="J27" s="16" t="str">
        <x:v>Attempt before reveal</x:v>
      </x:c>
      <x:c r="K27" s="16" t="str">
        <x:v>Overhead props + voiceover</x:v>
      </x:c>
      <x:c r="L27" s="16" t="str">
        <x:v>Save this question-reading reminder.</x:v>
      </x:c>
      <x:c r="M27" s="16" t="str">
        <x:v>CIRCLE EXCEPT</x:v>
      </x:c>
      <x:c r="N27" s="16" t="str">
        <x:v>The instruction word belongs in your working.</x:v>
      </x:c>
      <x:c r="O27" s="16" t="str">
        <x:v>reasoning, question reading, original quiz</x:v>
      </x:c>
      <x:c r="P27" s="16" t="str">
        <x:v>#AxomRank #AssamExams #StudyPractice</x:v>
      </x:c>
      <x:c r="Q27" s="16" t="str">
        <x:v>Original practice; question must use consistent “not even” wording.</x:v>
      </x:c>
      <x:c r="R27" s="16" t="str">
        <x:v>Original / brand brief</x:v>
      </x:c>
    </x:row>
    <x:row r="28" ht="96" customHeight="1">
      <x:c r="A28" s="15" t="str">
        <x:v>AR023</x:v>
      </x:c>
      <x:c r="B28" s="19" t="n">
        <x:v>23</x:v>
      </x:c>
      <x:c r="C28" s="19" t="n">
        <x:v>1</x:v>
      </x:c>
      <x:c r="D28" s="20" t="str">
        <x:v>TOFU</x:v>
      </x:c>
      <x:c r="E28" s="15" t="str">
        <x:v>Language and access</x:v>
      </x:c>
      <x:c r="F28" s="15" t="str">
        <x:v>Two language cards, one method</x:v>
      </x:c>
      <x:c r="G28" s="23" t="str">
        <x:v>Slide English and Assamese cards together.</x:v>
      </x:c>
      <x:c r="H28" s="23" t="str">
        <x:v>Same question. Choose your language.</x:v>
      </x:c>
      <x:c r="I28" s="23" t="str">
        <x:v>The method survives a language change.</x:v>
      </x:c>
      <x:c r="J28" s="15" t="str">
        <x:v>Attempt before reveal</x:v>
      </x:c>
      <x:c r="K28" s="15" t="str">
        <x:v>Overhead props + voiceover</x:v>
      </x:c>
      <x:c r="L28" s="15" t="str">
        <x:v>Tell us your preferred explanation language.</x:v>
      </x:c>
      <x:c r="M28" s="15" t="str">
        <x:v>SAME METHOD</x:v>
      </x:c>
      <x:c r="N28" s="15" t="str">
        <x:v>A language choice should keep the full explanation.</x:v>
      </x:c>
      <x:c r="O28" s="15" t="str">
        <x:v>Assamese learning, bilingual, percentage</x:v>
      </x:c>
      <x:c r="P28" s="15" t="str">
        <x:v>#AxomRank #AssamExams #StudyPractice</x:v>
      </x:c>
      <x:c r="Q28" s="15" t="str">
        <x:v>Have a fluent Assamese reader approve the full translated card and rendered glyphs.</x:v>
      </x:c>
      <x:c r="R28" s="15" t="str">
        <x:v>Original / brand brief</x:v>
      </x:c>
    </x:row>
    <x:row r="29" ht="96" customHeight="1">
      <x:c r="A29" s="16" t="str">
        <x:v>AR024</x:v>
      </x:c>
      <x:c r="B29" s="21" t="n">
        <x:v>24</x:v>
      </x:c>
      <x:c r="C29" s="21" t="n">
        <x:v>1</x:v>
      </x:c>
      <x:c r="D29" s="22" t="str">
        <x:v>BOFU</x:v>
      </x:c>
      <x:c r="E29" s="16" t="str">
        <x:v>Product navigation</x:v>
      </x:c>
      <x:c r="F29" s="16" t="str">
        <x:v>A profile link that lands on a task</x:v>
      </x:c>
      <x:c r="G29" s="24" t="str">
        <x:v>Tap real Instagram bio practice link.</x:v>
      </x:c>
      <x:c r="H29" s="24" t="str">
        <x:v>This link lands on a practice task.</x:v>
      </x:c>
      <x:c r="I29" s="24" t="str">
        <x:v>Watch where this practice link takes you.</x:v>
      </x:c>
      <x:c r="J29" s="16" t="str">
        <x:v>Show the route</x:v>
      </x:c>
      <x:c r="K29" s="16" t="str">
        <x:v>Real screen demo</x:v>
      </x:c>
      <x:c r="L29" s="16" t="str">
        <x:v>Tap the practice link in our profile.</x:v>
      </x:c>
      <x:c r="M29" s="16" t="str">
        <x:v>WATCH THE ROUTE</x:v>
      </x:c>
      <x:c r="N29" s="16" t="str">
        <x:v>See the full route before your first attempt.</x:v>
      </x:c>
      <x:c r="O29" s="16" t="str">
        <x:v>practice link, AxomRank, beginner</x:v>
      </x:c>
      <x:c r="P29" s="16" t="str">
        <x:v>#AxomRank #AssamExams #ExamPractice</x:v>
      </x:c>
      <x:c r="Q29" s="16" t="str">
        <x:v>Test destination on mobile before recording. Do not hide mandatory sign-in or payment steps.</x:v>
      </x:c>
      <x:c r="R29" s="16" t="str">
        <x:v>Original / brand brief</x:v>
      </x:c>
    </x:row>
    <x:row r="30" ht="96" customHeight="1">
      <x:c r="A30" s="15" t="str">
        <x:v>AR025</x:v>
      </x:c>
      <x:c r="B30" s="19" t="n">
        <x:v>25</x:v>
      </x:c>
      <x:c r="C30" s="19" t="n">
        <x:v>1</x:v>
      </x:c>
      <x:c r="D30" s="20" t="str">
        <x:v>TOFU</x:v>
      </x:c>
      <x:c r="E30" s="15" t="str">
        <x:v>Assam GK</x:v>
      </x:c>
      <x:c r="F30" s="15" t="str">
        <x:v>The rhinoceros question</x:v>
      </x:c>
      <x:c r="G30" s="23" t="str">
        <x:v>Reveal licensed one-horned rhino image through a circle.</x:v>
      </x:c>
      <x:c r="H30" s="23" t="str">
        <x:v>One horn. Name the park.</x:v>
      </x:c>
      <x:c r="I30" s="23" t="str">
        <x:v>One horn. Which Assam national park?</x:v>
      </x:c>
      <x:c r="J30" s="15" t="str">
        <x:v>Identify before reveal</x:v>
      </x:c>
      <x:c r="K30" s="15" t="str">
        <x:v>GK card + source reveal</x:v>
      </x:c>
      <x:c r="L30" s="15" t="str">
        <x:v>Share this with your Assam GK partner.</x:v>
      </x:c>
      <x:c r="M30" s="15" t="str">
        <x:v>NAME THE PARK</x:v>
      </x:c>
      <x:c r="N30" s="15" t="str">
        <x:v>Recognise the animal, then read the question carefully.</x:v>
      </x:c>
      <x:c r="O30" s="15" t="str">
        <x:v>Kaziranga, Assam GK, wildlife</x:v>
      </x:c>
      <x:c r="P30" s="15" t="str">
        <x:v>#AxomRank #AssamExams #AssamGK</x:v>
      </x:c>
      <x:c r="Q30" s="15" t="str">
        <x:v>Source S2; “famously associated” does not imply exclusive species distribution.</x:v>
      </x:c>
      <x:c r="R30" s="15" t="str">
        <x:v>S2</x:v>
      </x:c>
    </x:row>
    <x:row r="31" ht="96" customHeight="1">
      <x:c r="A31" s="16" t="str">
        <x:v>AR026</x:v>
      </x:c>
      <x:c r="B31" s="21" t="n">
        <x:v>26</x:v>
      </x:c>
      <x:c r="C31" s="21" t="n">
        <x:v>1</x:v>
      </x:c>
      <x:c r="D31" s="22" t="str">
        <x:v>MOFU</x:v>
      </x:c>
      <x:c r="E31" s="16" t="str">
        <x:v>Reasoning explanation</x:v>
      </x:c>
      <x:c r="F31" s="16" t="str">
        <x:v>One sentence explains your answer</x:v>
      </x:c>
      <x:c r="G31" s="24" t="str">
        <x:v>Show answer 32 with an empty reason box.</x:v>
      </x:c>
      <x:c r="H31" s="24" t="str">
        <x:v>Explain why you chose thirty-two.</x:v>
      </x:c>
      <x:c r="I31" s="24" t="str">
        <x:v>Choosing the option is only the start.</x:v>
      </x:c>
      <x:c r="J31" s="16" t="str">
        <x:v>Missing step reveal</x:v>
      </x:c>
      <x:c r="K31" s="16" t="str">
        <x:v>Overhead props + voiceover</x:v>
      </x:c>
      <x:c r="L31" s="16" t="str">
        <x:v>Try explaining your next answer aloud.</x:v>
      </x:c>
      <x:c r="M31" s="16" t="str">
        <x:v>WHERE IS THE REASON?</x:v>
      </x:c>
      <x:c r="N31" s="16" t="str">
        <x:v>An answer becomes clearer when its rule is visible.</x:v>
      </x:c>
      <x:c r="O31" s="16" t="str">
        <x:v>number series, reasoning, explanation</x:v>
      </x:c>
      <x:c r="P31" s="16" t="str">
        <x:v>#AxomRank #AssamExams #StudyPractice</x:v>
      </x:c>
      <x:c r="Q31" s="16" t="str">
        <x:v>Original sequence; state rule to avoid claiming a finite sequence has a unique continuation.</x:v>
      </x:c>
      <x:c r="R31" s="16" t="str">
        <x:v>Original / brand brief</x:v>
      </x:c>
    </x:row>
    <x:row r="32" ht="96" customHeight="1">
      <x:c r="A32" s="15" t="str">
        <x:v>AR027</x:v>
      </x:c>
      <x:c r="B32" s="19" t="n">
        <x:v>27</x:v>
      </x:c>
      <x:c r="C32" s="19" t="n">
        <x:v>1</x:v>
      </x:c>
      <x:c r="D32" s="20" t="str">
        <x:v>TOFU</x:v>
      </x:c>
      <x:c r="E32" s="15" t="str">
        <x:v>Aspirant life</x:v>
      </x:c>
      <x:c r="F32" s="15" t="str">
        <x:v>A page opened at midnight</x:v>
      </x:c>
      <x:c r="G32" s="23" t="str">
        <x:v>Clock close-up; cut to unopened notebook.</x:v>
      </x:c>
      <x:c r="H32" s="23" t="str">
        <x:v>The clock says late. Choose one task.</x:v>
      </x:c>
      <x:c r="I32" s="23" t="str">
        <x:v>A late start still needs a small task.</x:v>
      </x:c>
      <x:c r="J32" s="15" t="str">
        <x:v>Recognisable moment</x:v>
      </x:c>
      <x:c r="K32" s="15" t="str">
        <x:v>Creator scene + voiceover</x:v>
      </x:c>
      <x:c r="L32" s="15" t="str">
        <x:v>Send this to your late-starting study friend.</x:v>
      </x:c>
      <x:c r="M32" s="15" t="str">
        <x:v>LATE START</x:v>
      </x:c>
      <x:c r="N32" s="15" t="str">
        <x:v>A late start can have a sensible stopping point.</x:v>
      </x:c>
      <x:c r="O32" s="15" t="str">
        <x:v>student life, study routine, exam preparation</x:v>
      </x:c>
      <x:c r="P32" s="15" t="str">
        <x:v>#AxomRank #AssamExams #AssamAspirants</x:v>
      </x:c>
      <x:c r="Q32" s="15" t="str">
        <x:v>Use a staged clock; avoid glorifying sleep deprivation or implying late study is preferable.</x:v>
      </x:c>
      <x:c r="R32" s="15" t="str">
        <x:v>Original / brand brief</x:v>
      </x:c>
    </x:row>
    <x:row r="33" ht="96" customHeight="1">
      <x:c r="A33" s="16" t="str">
        <x:v>AR028</x:v>
      </x:c>
      <x:c r="B33" s="21" t="n">
        <x:v>28</x:v>
      </x:c>
      <x:c r="C33" s="21" t="n">
        <x:v>1</x:v>
      </x:c>
      <x:c r="D33" s="22" t="str">
        <x:v>MOFU</x:v>
      </x:c>
      <x:c r="E33" s="16" t="str">
        <x:v>Assam GK method</x:v>
      </x:c>
      <x:c r="F33" s="16" t="str">
        <x:v>Check the source under the GK card</x:v>
      </x:c>
      <x:c r="G33" s="24" t="str">
        <x:v>Lift a GK card to expose source line.</x:v>
      </x:c>
      <x:c r="H33" s="24" t="str">
        <x:v>Where did this landmark fact come from?</x:v>
      </x:c>
      <x:c r="I33" s="24" t="str">
        <x:v>This landmark card needs a source line.</x:v>
      </x:c>
      <x:c r="J33" s="16" t="str">
        <x:v>Identify before reveal</x:v>
      </x:c>
      <x:c r="K33" s="16" t="str">
        <x:v>GK card + source reveal</x:v>
      </x:c>
      <x:c r="L33" s="16" t="str">
        <x:v>Save this local-fact card format.</x:v>
      </x:c>
      <x:c r="M33" s="16" t="str">
        <x:v>SHOW THE SOURCE</x:v>
      </x:c>
      <x:c r="N33" s="16" t="str">
        <x:v>A source line is part of the lesson.</x:v>
      </x:c>
      <x:c r="O33" s="16" t="str">
        <x:v>Assam GK, Rang Ghar, source checking</x:v>
      </x:c>
      <x:c r="P33" s="16" t="str">
        <x:v>#AxomRank #AssamExams #AssamGK</x:v>
      </x:c>
      <x:c r="Q33" s="16" t="str">
        <x:v>Source S1; reproduce only a short permitted excerpt or paraphrase with attribution.</x:v>
      </x:c>
      <x:c r="R33" s="16" t="str">
        <x:v>S1</x:v>
      </x:c>
    </x:row>
    <x:row r="34" ht="96" customHeight="1">
      <x:c r="A34" s="15" t="str">
        <x:v>AR029</x:v>
      </x:c>
      <x:c r="B34" s="19" t="n">
        <x:v>29</x:v>
      </x:c>
      <x:c r="C34" s="19" t="n">
        <x:v>1</x:v>
      </x:c>
      <x:c r="D34" s="20" t="str">
        <x:v>BOFU</x:v>
      </x:c>
      <x:c r="E34" s="15" t="str">
        <x:v>Product enquiry</x:v>
      </x:c>
      <x:c r="F34" s="15" t="str">
        <x:v>Ask one specific access question</x:v>
      </x:c>
      <x:c r="G34" s="23" t="str">
        <x:v>Put “What is included?” card beside real support link.</x:v>
      </x:c>
      <x:c r="H34" s="23" t="str">
        <x:v>Ask what your access actually includes.</x:v>
      </x:c>
      <x:c r="I34" s="23" t="str">
        <x:v>Ask us this before choosing your access.</x:v>
      </x:c>
      <x:c r="J34" s="15" t="str">
        <x:v>Show the route</x:v>
      </x:c>
      <x:c r="K34" s="15" t="str">
        <x:v>Real screen demo</x:v>
      </x:c>
      <x:c r="L34" s="15" t="str">
        <x:v>Send your access question through the shown route.</x:v>
      </x:c>
      <x:c r="M34" s="15" t="str">
        <x:v>ASK BEFORE CHOOSING</x:v>
      </x:c>
      <x:c r="N34" s="15" t="str">
        <x:v>A specific question gets a more useful access answer.</x:v>
      </x:c>
      <x:c r="O34" s="15" t="str">
        <x:v>AxomRank plans, support, enquiry</x:v>
      </x:c>
      <x:c r="P34" s="15" t="str">
        <x:v>#AxomRank #AssamExams #ExamPractice</x:v>
      </x:c>
      <x:c r="Q34" s="15" t="str">
        <x:v>Verify support route and current plan page; use a drafted enquiry, not a fabricated customer exchange.</x:v>
      </x:c>
      <x:c r="R34" s="15" t="str">
        <x:v>Original / brand brief</x:v>
      </x:c>
    </x:row>
    <x:row r="35" ht="96" customHeight="1">
      <x:c r="A35" s="16" t="str">
        <x:v>AR030</x:v>
      </x:c>
      <x:c r="B35" s="21" t="n">
        <x:v>30</x:v>
      </x:c>
      <x:c r="C35" s="21" t="n">
        <x:v>1</x:v>
      </x:c>
      <x:c r="D35" s="22" t="str">
        <x:v>TOFU</x:v>
      </x:c>
      <x:c r="E35" s="16" t="str">
        <x:v>Quick challenge</x:v>
      </x:c>
      <x:c r="F35" s="16" t="str">
        <x:v>The answer under the sticky note</x:v>
      </x:c>
      <x:c r="G35" s="24" t="str">
        <x:v>Peel a sticky-note corner over hidden answer.</x:v>
      </x:c>
      <x:c r="H35" s="24" t="str">
        <x:v>Choose before I lift this note.</x:v>
      </x:c>
      <x:c r="I35" s="24" t="str">
        <x:v>Choose before I lift this sticky note.</x:v>
      </x:c>
      <x:c r="J35" s="16" t="str">
        <x:v>Attempt before reveal</x:v>
      </x:c>
      <x:c r="K35" s="16" t="str">
        <x:v>Overhead props + voiceover</x:v>
      </x:c>
      <x:c r="L35" s="16" t="str">
        <x:v>Comment the answer you chose first.</x:v>
      </x:c>
      <x:c r="M35" s="16" t="str">
        <x:v>CHOOSE BEFORE REVEAL</x:v>
      </x:c>
      <x:c r="N35" s="16" t="str">
        <x:v>Your first answer goes in before the reveal.</x:v>
      </x:c>
      <x:c r="O35" s="16" t="str">
        <x:v>average, original quiz, maths</x:v>
      </x:c>
      <x:c r="P35" s="16" t="str">
        <x:v>#AxomRank #AssamExams #StudyPractice</x:v>
      </x:c>
      <x:c r="Q35" s="16" t="str">
        <x:v>Original practice; count three values, not two intervals.</x:v>
      </x:c>
      <x:c r="R35" s="16" t="str">
        <x:v>Original / brand brief</x:v>
      </x:c>
    </x:row>
    <x:row r="36" ht="96" customHeight="1">
      <x:c r="A36" s="15" t="str">
        <x:v>AR031</x:v>
      </x:c>
      <x:c r="B36" s="19" t="n">
        <x:v>31</x:v>
      </x:c>
      <x:c r="C36" s="19" t="n">
        <x:v>2</x:v>
      </x:c>
      <x:c r="D36" s="20" t="str">
        <x:v>TOFU</x:v>
      </x:c>
      <x:c r="E36" s="15" t="str">
        <x:v>Aspirant life</x:v>
      </x:c>
      <x:c r="F36" s="15" t="str">
        <x:v>The rain interrupted the plan</x:v>
      </x:c>
      <x:c r="G36" s="23" t="str">
        <x:v>Rain on window; focus pulls to open notebook.</x:v>
      </x:c>
      <x:c r="H36" s="23" t="str">
        <x:v>The rain changed tonight’s plan.</x:v>
      </x:c>
      <x:c r="I36" s="23" t="str">
        <x:v>Your study plan can fit this rainy evening.</x:v>
      </x:c>
      <x:c r="J36" s="15" t="str">
        <x:v>Recognisable moment</x:v>
      </x:c>
      <x:c r="K36" s="15" t="str">
        <x:v>Creator scene + voiceover</x:v>
      </x:c>
      <x:c r="L36" s="15" t="str">
        <x:v>Share this with your rainy-evening study friend.</x:v>
      </x:c>
      <x:c r="M36" s="15" t="str">
        <x:v>PLANS CHANGED</x:v>
      </x:c>
      <x:c r="N36" s="15" t="str">
        <x:v>Your plan can change without losing its next task.</x:v>
      </x:c>
      <x:c r="O36" s="15" t="str">
        <x:v>Assam students, evening practice, study routine</x:v>
      </x:c>
      <x:c r="P36" s="15" t="str">
        <x:v>#AxomRank #AssamExams #AssamAspirants</x:v>
      </x:c>
      <x:c r="Q36" s="15" t="str">
        <x:v>Film ordinary weather footage; do not exploit flood damage or hardship.</x:v>
      </x:c>
      <x:c r="R36" s="15" t="str">
        <x:v>Original / brand brief</x:v>
      </x:c>
    </x:row>
    <x:row r="37" ht="96" customHeight="1">
      <x:c r="A37" s="16" t="str">
        <x:v>AR032</x:v>
      </x:c>
      <x:c r="B37" s="21" t="n">
        <x:v>32</x:v>
      </x:c>
      <x:c r="C37" s="21" t="n">
        <x:v>2</x:v>
      </x:c>
      <x:c r="D37" s="22" t="str">
        <x:v>MOFU</x:v>
      </x:c>
      <x:c r="E37" s="16" t="str">
        <x:v>Wrong Answer Clinic</x:v>
      </x:c>
      <x:c r="F37" s="16" t="str">
        <x:v>Profit percentage denominator</x:v>
      </x:c>
      <x:c r="G37" s="24" t="str">
        <x:v>Circle denominator60 in wrong profit-percent working.</x:v>
      </x:c>
      <x:c r="H37" s="24" t="str">
        <x:v>Divide profit by cost price.</x:v>
      </x:c>
      <x:c r="I37" s="24" t="str">
        <x:v>That denominator is the cost price.</x:v>
      </x:c>
      <x:c r="J37" s="16" t="str">
        <x:v>Missing step reveal</x:v>
      </x:c>
      <x:c r="K37" s="16" t="str">
        <x:v>Overhead props + voiceover</x:v>
      </x:c>
      <x:c r="L37" s="16" t="str">
        <x:v>Save this denominator example.</x:v>
      </x:c>
      <x:c r="M37" s="16" t="str">
        <x:v>LABEL COST PRICE</x:v>
      </x:c>
      <x:c r="N37" s="16" t="str">
        <x:v>Two denominators can describe different quantities.</x:v>
      </x:c>
      <x:c r="O37" s="16" t="str">
        <x:v>profit percentage, explanation, arithmetic</x:v>
      </x:c>
      <x:c r="P37" s="16" t="str">
        <x:v>#AxomRank #AssamExams #StudyPractice</x:v>
      </x:c>
      <x:c r="Q37" s="16" t="str">
        <x:v>Original arithmetic; terminology must match cost-based profit percentage.</x:v>
      </x:c>
      <x:c r="R37" s="16" t="str">
        <x:v>Original / brand brief</x:v>
      </x:c>
    </x:row>
    <x:row r="38" ht="96" customHeight="1">
      <x:c r="A38" s="15" t="str">
        <x:v>AR033</x:v>
      </x:c>
      <x:c r="B38" s="19" t="n">
        <x:v>33</x:v>
      </x:c>
      <x:c r="C38" s="19" t="n">
        <x:v>2</x:v>
      </x:c>
      <x:c r="D38" s="20" t="str">
        <x:v>TOFU</x:v>
      </x:c>
      <x:c r="E38" s="15" t="str">
        <x:v>Community and place</x:v>
      </x:c>
      <x:c r="F38" s="15" t="str">
        <x:v>Your town on a blank card</x:v>
      </x:c>
      <x:c r="G38" s="23" t="str">
        <x:v>Reveal an empty map-pin card beside AxomRank mark.</x:v>
      </x:c>
      <x:c r="H38" s="23" t="str">
        <x:v>Your town belongs on this card.</x:v>
      </x:c>
      <x:c r="I38" s="23" t="str">
        <x:v>Which place deserves our next GK question?</x:v>
      </x:c>
      <x:c r="J38" s="15" t="str">
        <x:v>Participation prompt</x:v>
      </x:c>
      <x:c r="K38" s="15" t="str">
        <x:v>Creator-led invitation</x:v>
      </x:c>
      <x:c r="L38" s="15" t="str">
        <x:v>Comment a place and your question.</x:v>
      </x:c>
      <x:c r="M38" s="15" t="str">
        <x:v>YOUR TOWN NEXT?</x:v>
      </x:c>
      <x:c r="N38" s="15" t="str">
        <x:v>Give the next location card a place you know.</x:v>
      </x:c>
      <x:c r="O38" s="15" t="str">
        <x:v>Assam GK, local stories, community</x:v>
      </x:c>
      <x:c r="P38" s="15" t="str">
        <x:v>#AxomRank #AssamExams #AssamGK</x:v>
      </x:c>
      <x:c r="Q38" s="15" t="str">
        <x:v>Invitation only; avoid claiming suggestions have already arrived. Check actual places before follow-up.</x:v>
      </x:c>
      <x:c r="R38" s="15" t="str">
        <x:v>Original / brand brief</x:v>
      </x:c>
    </x:row>
    <x:row r="39" ht="96" customHeight="1">
      <x:c r="A39" s="16" t="str">
        <x:v>AR034</x:v>
      </x:c>
      <x:c r="B39" s="21" t="n">
        <x:v>34</x:v>
      </x:c>
      <x:c r="C39" s="21" t="n">
        <x:v>2</x:v>
      </x:c>
      <x:c r="D39" s="22" t="str">
        <x:v>BOFU</x:v>
      </x:c>
      <x:c r="E39" s="16" t="str">
        <x:v>Mock workflow</x:v>
      </x:c>
      <x:c r="F39" s="16" t="str">
        <x:v>A mock followed by review</x:v>
      </x:c>
      <x:c r="G39" s="24" t="str">
        <x:v>Finger moves beyond actual last-question screen towards review.</x:v>
      </x:c>
      <x:c r="H39" s="24" t="str">
        <x:v>Leave time after the last answer.</x:v>
      </x:c>
      <x:c r="I39" s="24" t="str">
        <x:v>This session includes the review step.</x:v>
      </x:c>
      <x:c r="J39" s="16" t="str">
        <x:v>Show the route</x:v>
      </x:c>
      <x:c r="K39" s="16" t="str">
        <x:v>Real screen demo</x:v>
      </x:c>
      <x:c r="L39" s="16" t="str">
        <x:v>Start this mock through the profile link.</x:v>
      </x:c>
      <x:c r="M39" s="16" t="str">
        <x:v>AFTER THE LAST ANSWER</x:v>
      </x:c>
      <x:c r="N39" s="16" t="str">
        <x:v>See where the review lives before you begin.</x:v>
      </x:c>
      <x:c r="O39" s="16" t="str">
        <x:v>mock review, AxomRank, mock start</x:v>
      </x:c>
      <x:c r="P39" s="16" t="str">
        <x:v>#AxomRank #AssamExams #ExamPractice</x:v>
      </x:c>
      <x:c r="Q39" s="16" t="str">
        <x:v>Requires live mock and review availability; creator attempt may be shown with identifying details redacted.</x:v>
      </x:c>
      <x:c r="R39" s="16" t="str">
        <x:v>Original / brand brief</x:v>
      </x:c>
    </x:row>
    <x:row r="40" ht="96" customHeight="1">
      <x:c r="A40" s="15" t="str">
        <x:v>AR035</x:v>
      </x:c>
      <x:c r="B40" s="19" t="n">
        <x:v>35</x:v>
      </x:c>
      <x:c r="C40" s="19" t="n">
        <x:v>2</x:v>
      </x:c>
      <x:c r="D40" s="20" t="str">
        <x:v>TOFU</x:v>
      </x:c>
      <x:c r="E40" s="15" t="str">
        <x:v>Everyday maths</x:v>
      </x:c>
      <x:c r="F40" s="15" t="str">
        <x:v>The average hides a new student</x:v>
      </x:c>
      <x:c r="G40" s="23" t="str">
        <x:v>Slide a third paper person into a two-person score chart.</x:v>
      </x:c>
      <x:c r="H40" s="23" t="str">
        <x:v>Someone joined. The average changed.</x:v>
      </x:c>
      <x:c r="I40" s="23" t="str">
        <x:v>One person joins. Check the average again.</x:v>
      </x:c>
      <x:c r="J40" s="15" t="str">
        <x:v>Attempt before reveal</x:v>
      </x:c>
      <x:c r="K40" s="15" t="str">
        <x:v>Overhead props + voiceover</x:v>
      </x:c>
      <x:c r="L40" s="15" t="str">
        <x:v>Comment your answer before the reveal.</x:v>
      </x:c>
      <x:c r="M40" s="15" t="str">
        <x:v>SOMEONE JOINED</x:v>
      </x:c>
      <x:c r="N40" s="15" t="str">
        <x:v>A new member changes the total and the count.</x:v>
      </x:c>
      <x:c r="O40" s="15" t="str">
        <x:v>average, quick maths, original practice</x:v>
      </x:c>
      <x:c r="P40" s="15" t="str">
        <x:v>#AxomRank #AssamExams #StudyPractice</x:v>
      </x:c>
      <x:c r="Q40" s="15" t="str">
        <x:v>Invented practice scores labelled example; no student-result claim.</x:v>
      </x:c>
      <x:c r="R40" s="15" t="str">
        <x:v>Original / brand brief</x:v>
      </x:c>
    </x:row>
    <x:row r="41" ht="96" customHeight="1">
      <x:c r="A41" s="16" t="str">
        <x:v>AR036</x:v>
      </x:c>
      <x:c r="B41" s="21" t="n">
        <x:v>36</x:v>
      </x:c>
      <x:c r="C41" s="21" t="n">
        <x:v>2</x:v>
      </x:c>
      <x:c r="D41" s="22" t="str">
        <x:v>MOFU</x:v>
      </x:c>
      <x:c r="E41" s="16" t="str">
        <x:v>Maths explanation</x:v>
      </x:c>
      <x:c r="F41" s="16" t="str">
        <x:v>Fractions become equal boxes</x:v>
      </x:c>
      <x:c r="G41" s="24" t="str">
        <x:v>Draw four boxes; shade only one.</x:v>
      </x:c>
      <x:c r="H41" s="24" t="str">
        <x:v>One quarter means one equal part.</x:v>
      </x:c>
      <x:c r="I41" s="24" t="str">
        <x:v>A quarter means one of these boxes.</x:v>
      </x:c>
      <x:c r="J41" s="16" t="str">
        <x:v>Missing step reveal</x:v>
      </x:c>
      <x:c r="K41" s="16" t="str">
        <x:v>Overhead props + voiceover</x:v>
      </x:c>
      <x:c r="L41" s="16" t="str">
        <x:v>Save this fraction-to-box method.</x:v>
      </x:c>
      <x:c r="M41" s="16" t="str">
        <x:v>ONE EQUAL PART</x:v>
      </x:c>
      <x:c r="N41" s="16" t="str">
        <x:v>Keep the whole visible while finding the part.</x:v>
      </x:c>
      <x:c r="O41" s="16" t="str">
        <x:v>fractions, maths explanation, original practice</x:v>
      </x:c>
      <x:c r="P41" s="16" t="str">
        <x:v>#AxomRank #AssamExams #StudyPractice</x:v>
      </x:c>
      <x:c r="Q41" s="16" t="str">
        <x:v>Original practice; boxes must have equal size.</x:v>
      </x:c>
      <x:c r="R41" s="16" t="str">
        <x:v>Original / brand brief</x:v>
      </x:c>
    </x:row>
    <x:row r="42" ht="96" customHeight="1">
      <x:c r="A42" s="15" t="str">
        <x:v>AR037</x:v>
      </x:c>
      <x:c r="B42" s="19" t="n">
        <x:v>37</x:v>
      </x:c>
      <x:c r="C42" s="19" t="n">
        <x:v>2</x:v>
      </x:c>
      <x:c r="D42" s="20" t="str">
        <x:v>TOFU</x:v>
      </x:c>
      <x:c r="E42" s="15" t="str">
        <x:v>Community</x:v>
      </x:c>
      <x:c r="F42" s="15" t="str">
        <x:v>The study-corner invitation</x:v>
      </x:c>
      <x:c r="G42" s="23" t="str">
        <x:v>Creator points to a real restart slip on desk.</x:v>
      </x:c>
      <x:c r="H42" s="23" t="str">
        <x:v>Show one habit from this corner.</x:v>
      </x:c>
      <x:c r="I42" s="23" t="str">
        <x:v>Show one habit from your study corner.</x:v>
      </x:c>
      <x:c r="J42" s="15" t="str">
        <x:v>Participation prompt</x:v>
      </x:c>
      <x:c r="K42" s="15" t="str">
        <x:v>Creator-led invitation</x:v>
      </x:c>
      <x:c r="L42" s="15" t="str">
        <x:v>Comment the habit you would share.</x:v>
      </x:c>
      <x:c r="M42" s="15" t="str">
        <x:v>ONE CORNER, ONE HABIT</x:v>
      </x:c>
      <x:c r="N42" s="15" t="str">
        <x:v>Show us the habit, not your personal documents.</x:v>
      </x:c>
      <x:c r="O42" s="15" t="str">
        <x:v>study corner, Assam aspirants, community</x:v>
      </x:c>
      <x:c r="P42" s="15" t="str">
        <x:v>#AxomRank #AssamExams #AssamAspirants</x:v>
      </x:c>
      <x:c r="Q42" s="15" t="str">
        <x:v>Creator example only; obtain publication permission for later submissions.</x:v>
      </x:c>
      <x:c r="R42" s="15" t="str">
        <x:v>Original / brand brief</x:v>
      </x:c>
    </x:row>
    <x:row r="43" ht="96" customHeight="1">
      <x:c r="A43" s="16" t="str">
        <x:v>AR038</x:v>
      </x:c>
      <x:c r="B43" s="21" t="n">
        <x:v>38</x:v>
      </x:c>
      <x:c r="C43" s="21" t="n">
        <x:v>2</x:v>
      </x:c>
      <x:c r="D43" s="22" t="str">
        <x:v>MOFU</x:v>
      </x:c>
      <x:c r="E43" s="16" t="str">
        <x:v>Maths explanation</x:v>
      </x:c>
      <x:c r="F43" s="16" t="str">
        <x:v>Adding a new score correctly</x:v>
      </x:c>
      <x:c r="G43" s="24" t="str">
        <x:v>Put average15 beside “2 scores” label.</x:v>
      </x:c>
      <x:c r="H43" s="24" t="str">
        <x:v>The old average needs its count.</x:v>
      </x:c>
      <x:c r="I43" s="24" t="str">
        <x:v>Keep the old total, not just the average.</x:v>
      </x:c>
      <x:c r="J43" s="16" t="str">
        <x:v>Missing step reveal</x:v>
      </x:c>
      <x:c r="K43" s="16" t="str">
        <x:v>Overhead props + voiceover</x:v>
      </x:c>
      <x:c r="L43" s="16" t="str">
        <x:v>Save this new-member average method.</x:v>
      </x:c>
      <x:c r="M43" s="16" t="str">
        <x:v>KEEP THE COUNT</x:v>
      </x:c>
      <x:c r="N43" s="16" t="str">
        <x:v>An old average carries a group size with it.</x:v>
      </x:c>
      <x:c r="O43" s="16" t="str">
        <x:v>average, quantitative aptitude, explanation</x:v>
      </x:c>
      <x:c r="P43" s="16" t="str">
        <x:v>#AxomRank #AssamExams #StudyPractice</x:v>
      </x:c>
      <x:c r="Q43" s="16" t="str">
        <x:v>Original worked example; imaginary scores labelled example.</x:v>
      </x:c>
      <x:c r="R43" s="16" t="str">
        <x:v>Original / brand brief</x:v>
      </x:c>
    </x:row>
    <x:row r="44" ht="96" customHeight="1">
      <x:c r="A44" s="15" t="str">
        <x:v>AR039</x:v>
      </x:c>
      <x:c r="B44" s="19" t="n">
        <x:v>39</x:v>
      </x:c>
      <x:c r="C44" s="19" t="n">
        <x:v>2</x:v>
      </x:c>
      <x:c r="D44" s="20" t="str">
        <x:v>BOFU</x:v>
      </x:c>
      <x:c r="E44" s="15" t="str">
        <x:v>Paid access</x:v>
      </x:c>
      <x:c r="F44" s="15" t="str">
        <x:v>Compare plans by your next task</x:v>
      </x:c>
      <x:c r="G44" s="23" t="str">
        <x:v>Place handwritten practice need beside real plan page.</x:v>
      </x:c>
      <x:c r="H44" s="23" t="str">
        <x:v>Put your task beside the plan.</x:v>
      </x:c>
      <x:c r="I44" s="23" t="str">
        <x:v>Compare the plan with your actual task.</x:v>
      </x:c>
      <x:c r="J44" s="15" t="str">
        <x:v>Show the route</x:v>
      </x:c>
      <x:c r="K44" s="15" t="str">
        <x:v>Real screen demo</x:v>
      </x:c>
      <x:c r="L44" s="15" t="str">
        <x:v>View current plans through the shown link.</x:v>
      </x:c>
      <x:c r="M44" s="15" t="str">
        <x:v>TASK BESIDE PLAN</x:v>
      </x:c>
      <x:c r="N44" s="15" t="str">
        <x:v>A plan comparison begins with what you intend to practise.</x:v>
      </x:c>
      <x:c r="O44" s="15" t="str">
        <x:v>AxomRank plans, exam practice, access</x:v>
      </x:c>
      <x:c r="P44" s="15" t="str">
        <x:v>#AxomRank #AssamExams #ExamPractice</x:v>
      </x:c>
      <x:c r="Q44" s="15" t="str">
        <x:v>Film only a live plan page; confirm current offer and terms. No invented prices, discounts or scarcity.</x:v>
      </x:c>
      <x:c r="R44" s="15" t="str">
        <x:v>Original / brand brief</x:v>
      </x:c>
    </x:row>
    <x:row r="45" ht="96" customHeight="1">
      <x:c r="A45" s="16" t="str">
        <x:v>AR040</x:v>
      </x:c>
      <x:c r="B45" s="21" t="n">
        <x:v>40</x:v>
      </x:c>
      <x:c r="C45" s="21" t="n">
        <x:v>2</x:v>
      </x:c>
      <x:c r="D45" s="22" t="str">
        <x:v>TOFU</x:v>
      </x:c>
      <x:c r="E45" s="16" t="str">
        <x:v>Assam GK</x:v>
      </x:c>
      <x:c r="F45" s="16" t="str">
        <x:v>Paper boat, river question</x:v>
      </x:c>
      <x:c r="G45" s="24" t="str">
        <x:v>Float paper island labelled Majuli in blue tray.</x:v>
      </x:c>
      <x:c r="H45" s="24" t="str">
        <x:v>Which river holds Majuli?</x:v>
      </x:c>
      <x:c r="I45" s="24" t="str">
        <x:v>Name the river around this island.</x:v>
      </x:c>
      <x:c r="J45" s="16" t="str">
        <x:v>Identify before reveal</x:v>
      </x:c>
      <x:c r="K45" s="16" t="str">
        <x:v>GK card + source reveal</x:v>
      </x:c>
      <x:c r="L45" s="16" t="str">
        <x:v>Share this with your geography partner.</x:v>
      </x:c>
      <x:c r="M45" s="16" t="str">
        <x:v>NAME THE RIVER</x:v>
      </x:c>
      <x:c r="N45" s="16" t="str">
        <x:v>The island name has a river connection.</x:v>
      </x:c>
      <x:c r="O45" s="16" t="str">
        <x:v>Majuli, Brahmaputra, Assam geography</x:v>
      </x:c>
      <x:c r="P45" s="16" t="str">
        <x:v>#AxomRank #AssamExams #AssamGK</x:v>
      </x:c>
      <x:c r="Q45" s="16" t="str">
        <x:v>Source S4. Diagram is illustrative, not a precise map; avoid largest-island claims.</x:v>
      </x:c>
      <x:c r="R45" s="16" t="str">
        <x:v>S4</x:v>
      </x:c>
    </x:row>
    <x:row r="46" ht="96" customHeight="1">
      <x:c r="A46" s="15" t="str">
        <x:v>AR041</x:v>
      </x:c>
      <x:c r="B46" s="19" t="n">
        <x:v>41</x:v>
      </x:c>
      <x:c r="C46" s="19" t="n">
        <x:v>2</x:v>
      </x:c>
      <x:c r="D46" s="20" t="str">
        <x:v>TOFU</x:v>
      </x:c>
      <x:c r="E46" s="15" t="str">
        <x:v>Quick challenge</x:v>
      </x:c>
      <x:c r="F46" s="15" t="str">
        <x:v>The blank answer option</x:v>
      </x:c>
      <x:c r="G46" s="23" t="str">
        <x:v>Rub out one multiple-choice option with an eraser.</x:v>
      </x:c>
      <x:c r="H46" s="23" t="str">
        <x:v>One answer option is missing.</x:v>
      </x:c>
      <x:c r="I46" s="23" t="str">
        <x:v>One option is missing. Fill it.</x:v>
      </x:c>
      <x:c r="J46" s="15" t="str">
        <x:v>Attempt before reveal</x:v>
      </x:c>
      <x:c r="K46" s="15" t="str">
        <x:v>Overhead props + voiceover</x:v>
      </x:c>
      <x:c r="L46" s="15" t="str">
        <x:v>Comment the number you wrote first.</x:v>
      </x:c>
      <x:c r="M46" s="15" t="str">
        <x:v>FILL THE OPTION</x:v>
      </x:c>
      <x:c r="N46" s="15" t="str">
        <x:v>The missing option gives you room to attempt.</x:v>
      </x:c>
      <x:c r="O46" s="15" t="str">
        <x:v>fractions, original quiz, maths</x:v>
      </x:c>
      <x:c r="P46" s="15" t="str">
        <x:v>#AxomRank #AssamExams #StudyPractice</x:v>
      </x:c>
      <x:c r="Q46" s="15" t="str">
        <x:v>Original practice; preserve visible quarter symbol and equal-share logic.</x:v>
      </x:c>
      <x:c r="R46" s="15" t="str">
        <x:v>Original / brand brief</x:v>
      </x:c>
    </x:row>
    <x:row r="47" ht="96" customHeight="1">
      <x:c r="A47" s="16" t="str">
        <x:v>AR042</x:v>
      </x:c>
      <x:c r="B47" s="21" t="n">
        <x:v>42</x:v>
      </x:c>
      <x:c r="C47" s="21" t="n">
        <x:v>2</x:v>
      </x:c>
      <x:c r="D47" s="22" t="str">
        <x:v>MOFU</x:v>
      </x:c>
      <x:c r="E47" s="16" t="str">
        <x:v>Maths explanation</x:v>
      </x:c>
      <x:c r="F47" s="16" t="str">
        <x:v>The unit conversion margin</x:v>
      </x:c>
      <x:c r="G47" s="24" t="str">
        <x:v>Place1m ruler strip beside50cm strip.</x:v>
      </x:c>
      <x:c r="H47" s="24" t="str">
        <x:v>These lengths use different units.</x:v>
      </x:c>
      <x:c r="I47" s="24" t="str">
        <x:v>Convert both lengths before you subtract.</x:v>
      </x:c>
      <x:c r="J47" s="16" t="str">
        <x:v>Missing step reveal</x:v>
      </x:c>
      <x:c r="K47" s="16" t="str">
        <x:v>Overhead props + voiceover</x:v>
      </x:c>
      <x:c r="L47" s="16" t="str">
        <x:v>Save this unit-check reminder.</x:v>
      </x:c>
      <x:c r="M47" s="16" t="str">
        <x:v>CHECK THE UNITS</x:v>
      </x:c>
      <x:c r="N47" s="16" t="str">
        <x:v>The unit belongs beside the number.</x:v>
      </x:c>
      <x:c r="O47" s="16" t="str">
        <x:v>unit conversion, arithmetic, maths</x:v>
      </x:c>
      <x:c r="P47" s="16" t="str">
        <x:v>#AxomRank #AssamExams #StudyPractice</x:v>
      </x:c>
      <x:c r="Q47" s="16" t="str">
        <x:v>Original practice; diagram not required to be actual scale, label illustrative if shortened.</x:v>
      </x:c>
      <x:c r="R47" s="16" t="str">
        <x:v>Original / brand brief</x:v>
      </x:c>
    </x:row>
    <x:row r="48" ht="96" customHeight="1">
      <x:c r="A48" s="15" t="str">
        <x:v>AR043</x:v>
      </x:c>
      <x:c r="B48" s="19" t="n">
        <x:v>43</x:v>
      </x:c>
      <x:c r="C48" s="19" t="n">
        <x:v>2</x:v>
      </x:c>
      <x:c r="D48" s="20" t="str">
        <x:v>TOFU</x:v>
      </x:c>
      <x:c r="E48" s="15" t="str">
        <x:v>Aspirant life</x:v>
      </x:c>
      <x:c r="F48" s="15" t="str">
        <x:v>The family room gets noisy</x:v>
      </x:c>
      <x:c r="G48" s="23" t="str">
        <x:v>Notebook shot interrupted by ordinary off-camera conversation.</x:v>
      </x:c>
      <x:c r="H48" s="23" t="str">
        <x:v>The room got noisy again.</x:v>
      </x:c>
      <x:c r="I48" s="23" t="str">
        <x:v>This session needs a smaller task.</x:v>
      </x:c>
      <x:c r="J48" s="15" t="str">
        <x:v>Recognisable moment</x:v>
      </x:c>
      <x:c r="K48" s="15" t="str">
        <x:v>Creator scene + voiceover</x:v>
      </x:c>
      <x:c r="L48" s="15" t="str">
        <x:v>Share this with a shared-room student.</x:v>
      </x:c>
      <x:c r="M48" s="15" t="str">
        <x:v>INTERRUPTED AGAIN</x:v>
      </x:c>
      <x:c r="N48" s="15" t="str">
        <x:v>A bookmark can hold the place your session lost.</x:v>
      </x:c>
      <x:c r="O48" s="15" t="str">
        <x:v>student life, shared room, study routine</x:v>
      </x:c>
      <x:c r="P48" s="15" t="str">
        <x:v>#AxomRank #AssamExams #AssamAspirants</x:v>
      </x:c>
      <x:c r="Q48" s="15" t="str">
        <x:v>Staged ordinary scene with consent; no family blame or hardship spectacle.</x:v>
      </x:c>
      <x:c r="R48" s="15" t="str">
        <x:v>Original / brand brief</x:v>
      </x:c>
    </x:row>
    <x:row r="49" ht="96" customHeight="1">
      <x:c r="A49" s="16" t="str">
        <x:v>AR044</x:v>
      </x:c>
      <x:c r="B49" s="21" t="n">
        <x:v>44</x:v>
      </x:c>
      <x:c r="C49" s="21" t="n">
        <x:v>2</x:v>
      </x:c>
      <x:c r="D49" s="22" t="str">
        <x:v>BOFU</x:v>
      </x:c>
      <x:c r="E49" s="16" t="str">
        <x:v>Product sample</x:v>
      </x:c>
      <x:c r="F49" s="16" t="str">
        <x:v>One question before a longer commitment</x:v>
      </x:c>
      <x:c r="G49" s="24" t="str">
        <x:v>Real sample question fills frame with answer hidden.</x:v>
      </x:c>
      <x:c r="H49" s="24" t="str">
        <x:v>Try this real sample first.</x:v>
      </x:c>
      <x:c r="I49" s="24" t="str">
        <x:v>Try the real question shown here first.</x:v>
      </x:c>
      <x:c r="J49" s="16" t="str">
        <x:v>Show the route</x:v>
      </x:c>
      <x:c r="K49" s="16" t="str">
        <x:v>Real screen demo</x:v>
      </x:c>
      <x:c r="L49" s="16" t="str">
        <x:v>Open the shown sample through our profile.</x:v>
      </x:c>
      <x:c r="M49" s="16" t="str">
        <x:v>TRY THIS SAMPLE</x:v>
      </x:c>
      <x:c r="N49" s="16" t="str">
        <x:v>Evaluate a real attempt before choosing a longer session.</x:v>
      </x:c>
      <x:c r="O49" s="16" t="str">
        <x:v>sample practice, AxomRank, product demo</x:v>
      </x:c>
      <x:c r="P49" s="16" t="str">
        <x:v>#AxomRank #AssamExams #ExamPractice</x:v>
      </x:c>
      <x:c r="Q49" s="16" t="str">
        <x:v>Verify sample access and explanation; do not describe it as free unless actually free.</x:v>
      </x:c>
      <x:c r="R49" s="16" t="str">
        <x:v>Original / brand brief</x:v>
      </x:c>
    </x:row>
    <x:row r="50" ht="96" customHeight="1">
      <x:c r="A50" s="15" t="str">
        <x:v>AR045</x:v>
      </x:c>
      <x:c r="B50" s="19" t="n">
        <x:v>45</x:v>
      </x:c>
      <x:c r="C50" s="19" t="n">
        <x:v>2</x:v>
      </x:c>
      <x:c r="D50" s="20" t="str">
        <x:v>TOFU</x:v>
      </x:c>
      <x:c r="E50" s="15" t="str">
        <x:v>Aspirant life</x:v>
      </x:c>
      <x:c r="F50" s="15" t="str">
        <x:v>Two students, different free hours</x:v>
      </x:c>
      <x:c r="G50" s="23" t="str">
        <x:v>Split-screen two clocks beside identical notebooks.</x:v>
      </x:c>
      <x:c r="H50" s="23" t="str">
        <x:v>Your free hour is different.</x:v>
      </x:c>
      <x:c r="I50" s="23" t="str">
        <x:v>Your timetable does not need their hours.</x:v>
      </x:c>
      <x:c r="J50" s="15" t="str">
        <x:v>Recognisable moment</x:v>
      </x:c>
      <x:c r="K50" s="15" t="str">
        <x:v>Creator scene + voiceover</x:v>
      </x:c>
      <x:c r="L50" s="15" t="str">
        <x:v>Send this to your differently-timed study partner.</x:v>
      </x:c>
      <x:c r="M50" s="15" t="str">
        <x:v>DIFFERENT FREE HOURS</x:v>
      </x:c>
      <x:c r="N50" s="15" t="str">
        <x:v>Two schedules can still share a practice question.</x:v>
      </x:c>
      <x:c r="O50" s="15" t="str">
        <x:v>Assam aspirants, study partner, timetable</x:v>
      </x:c>
      <x:c r="P50" s="15" t="str">
        <x:v>#AxomRank #AssamExams #AssamAspirants</x:v>
      </x:c>
      <x:c r="Q50" s="15" t="str">
        <x:v>Consenting adult performers; no claim of actual schedules or score improvements.</x:v>
      </x:c>
      <x:c r="R50" s="15" t="str">
        <x:v>Original / brand brief</x:v>
      </x:c>
    </x:row>
    <x:row r="51" ht="96" customHeight="1">
      <x:c r="A51" s="16" t="str">
        <x:v>AR046</x:v>
      </x:c>
      <x:c r="B51" s="21" t="n">
        <x:v>46</x:v>
      </x:c>
      <x:c r="C51" s="21" t="n">
        <x:v>2</x:v>
      </x:c>
      <x:c r="D51" s="22" t="str">
        <x:v>MOFU</x:v>
      </x:c>
      <x:c r="E51" s="16" t="str">
        <x:v>Maths explanation</x:v>
      </x:c>
      <x:c r="F51" s="16" t="str">
        <x:v>Area is not the boundary</x:v>
      </x:c>
      <x:c r="G51" s="24" t="str">
        <x:v>Trace rectangle outline then tap shaded interior.</x:v>
      </x:c>
      <x:c r="H51" s="24" t="str">
        <x:v>Inside or around this rectangle?</x:v>
      </x:c>
      <x:c r="I51" s="24" t="str">
        <x:v>This rectangle has two different answers.</x:v>
      </x:c>
      <x:c r="J51" s="16" t="str">
        <x:v>Missing step reveal</x:v>
      </x:c>
      <x:c r="K51" s="16" t="str">
        <x:v>Overhead props + voiceover</x:v>
      </x:c>
      <x:c r="L51" s="16" t="str">
        <x:v>Save this area-and-perimeter comparison.</x:v>
      </x:c>
      <x:c r="M51" s="16" t="str">
        <x:v>INSIDE OR AROUND?</x:v>
      </x:c>
      <x:c r="N51" s="16" t="str">
        <x:v>Your units can reveal which quantity you found.</x:v>
      </x:c>
      <x:c r="O51" s="16" t="str">
        <x:v>area, perimeter, quantitative aptitude</x:v>
      </x:c>
      <x:c r="P51" s="16" t="str">
        <x:v>#AxomRank #AssamExams #StudyPractice</x:v>
      </x:c>
      <x:c r="Q51" s="16" t="str">
        <x:v>Original example; distinguish 2×(4+3)=14 from area4×3=12.</x:v>
      </x:c>
      <x:c r="R51" s="16" t="str">
        <x:v>Original / brand brief</x:v>
      </x:c>
    </x:row>
    <x:row r="52" ht="96" customHeight="1">
      <x:c r="A52" s="15" t="str">
        <x:v>AR047</x:v>
      </x:c>
      <x:c r="B52" s="19" t="n">
        <x:v>47</x:v>
      </x:c>
      <x:c r="C52" s="19" t="n">
        <x:v>2</x:v>
      </x:c>
      <x:c r="D52" s="20" t="str">
        <x:v>TOFU</x:v>
      </x:c>
      <x:c r="E52" s="15" t="str">
        <x:v>Quick reasoning</x:v>
      </x:c>
      <x:c r="F52" s="15" t="str">
        <x:v>Four directions, one turn</x:v>
      </x:c>
      <x:c r="G52" s="23" t="str">
        <x:v>Creator faces paper N arrow; hand poised to turn.</x:v>
      </x:c>
      <x:c r="H52" s="23" t="str">
        <x:v>North. One right turn. Where now?</x:v>
      </x:c>
      <x:c r="I52" s="23" t="str">
        <x:v>Face north. Turn right. Point where?</x:v>
      </x:c>
      <x:c r="J52" s="15" t="str">
        <x:v>Attempt before reveal</x:v>
      </x:c>
      <x:c r="K52" s="15" t="str">
        <x:v>Overhead props + voiceover</x:v>
      </x:c>
      <x:c r="L52" s="15" t="str">
        <x:v>Comment the direction after the first turn.</x:v>
      </x:c>
      <x:c r="M52" s="15" t="str">
        <x:v>POINT THE DIRECTION</x:v>
      </x:c>
      <x:c r="N52" s="15" t="str">
        <x:v>The second turn starts from your new direction.</x:v>
      </x:c>
      <x:c r="O52" s="15" t="str">
        <x:v>direction reasoning, quick quiz, original practice</x:v>
      </x:c>
      <x:c r="P52" s="15" t="str">
        <x:v>#AxomRank #AssamExams #StudyPractice</x:v>
      </x:c>
      <x:c r="Q52" s="15" t="str">
        <x:v>Original reasoning; right means clockwise quarter-turn in the diagram.</x:v>
      </x:c>
      <x:c r="R52" s="15" t="str">
        <x:v>Original / brand brief</x:v>
      </x:c>
    </x:row>
    <x:row r="53" ht="96" customHeight="1">
      <x:c r="A53" s="16" t="str">
        <x:v>AR048</x:v>
      </x:c>
      <x:c r="B53" s="21" t="n">
        <x:v>48</x:v>
      </x:c>
      <x:c r="C53" s="21" t="n">
        <x:v>2</x:v>
      </x:c>
      <x:c r="D53" s="22" t="str">
        <x:v>MOFU</x:v>
      </x:c>
      <x:c r="E53" s="16" t="str">
        <x:v>Assam GK method</x:v>
      </x:c>
      <x:c r="F53" s="16" t="str">
        <x:v>Source cards for two parks</x:v>
      </x:c>
      <x:c r="G53" s="24" t="str">
        <x:v>Separate two cards that were stacked together.</x:v>
      </x:c>
      <x:c r="H53" s="24" t="str">
        <x:v>Keep these park cards separate.</x:v>
      </x:c>
      <x:c r="I53" s="24" t="str">
        <x:v>Two parks need two separate source cards.</x:v>
      </x:c>
      <x:c r="J53" s="16" t="str">
        <x:v>Identify before reveal</x:v>
      </x:c>
      <x:c r="K53" s="16" t="str">
        <x:v>GK card + source reveal</x:v>
      </x:c>
      <x:c r="L53" s="16" t="str">
        <x:v>Save this two-card revision format.</x:v>
      </x:c>
      <x:c r="M53" s="16" t="str">
        <x:v>KEEP CARDS SEPARATE</x:v>
      </x:c>
      <x:c r="N53" s="16" t="str">
        <x:v>Attach the fact to the correct site name.</x:v>
      </x:c>
      <x:c r="O53" s="16" t="str">
        <x:v>Kaziranga, Manas, Assam GK</x:v>
      </x:c>
      <x:c r="P53" s="16" t="str">
        <x:v>#AxomRank #AssamExams #AssamGK</x:v>
      </x:c>
      <x:c r="Q53" s="16" t="str">
        <x:v>Sources S3 and S5. The year here belongs to Kaziranga’s inscription, not establishment.</x:v>
      </x:c>
      <x:c r="R53" s="16" t="str">
        <x:v>S3, S5</x:v>
      </x:c>
    </x:row>
    <x:row r="54" ht="96" customHeight="1">
      <x:c r="A54" s="15" t="str">
        <x:v>AR049</x:v>
      </x:c>
      <x:c r="B54" s="19" t="n">
        <x:v>49</x:v>
      </x:c>
      <x:c r="C54" s="19" t="n">
        <x:v>2</x:v>
      </x:c>
      <x:c r="D54" s="20" t="str">
        <x:v>BOFU</x:v>
      </x:c>
      <x:c r="E54" s="15" t="str">
        <x:v>Study Planner</x:v>
      </x:c>
      <x:c r="F54" s="15" t="str">
        <x:v>Use a planner with a real window</x:v>
      </x:c>
      <x:c r="G54" s="23" t="str">
        <x:v>Move20-minute card onto real planner screen.</x:v>
      </x:c>
      <x:c r="H54" s="23" t="str">
        <x:v>Give the planner a real study window.</x:v>
      </x:c>
      <x:c r="I54" s="23" t="str">
        <x:v>Give the planner the time you actually have.</x:v>
      </x:c>
      <x:c r="J54" s="15" t="str">
        <x:v>Show the route</x:v>
      </x:c>
      <x:c r="K54" s="15" t="str">
        <x:v>Real screen demo</x:v>
      </x:c>
      <x:c r="L54" s="15" t="str">
        <x:v>Open the Study Planner through the shown link.</x:v>
      </x:c>
      <x:c r="M54" s="15" t="str">
        <x:v>YOUR REAL WINDOW</x:v>
      </x:c>
      <x:c r="N54" s="15" t="str">
        <x:v>The available window belongs in your plan.</x:v>
      </x:c>
      <x:c r="O54" s="15" t="str">
        <x:v>Study Planner, AxomRank, study plan</x:v>
      </x:c>
      <x:c r="P54" s="15" t="str">
        <x:v>#AxomRank #AssamExams #ExamPractice</x:v>
      </x:c>
      <x:c r="Q54" s="15" t="str">
        <x:v>Conditional: verify Study Planner is live and record supported inputs. If unavailable, use a manual-plan tutorial with MOFU CTA and rebalance BOFU elsewhere.</x:v>
      </x:c>
      <x:c r="R54" s="15" t="str">
        <x:v>Original / brand brief</x:v>
      </x:c>
    </x:row>
    <x:row r="55" ht="96" customHeight="1">
      <x:c r="A55" s="16" t="str">
        <x:v>AR050</x:v>
      </x:c>
      <x:c r="B55" s="21" t="n">
        <x:v>50</x:v>
      </x:c>
      <x:c r="C55" s="21" t="n">
        <x:v>2</x:v>
      </x:c>
      <x:c r="D55" s="22" t="str">
        <x:v>TOFU</x:v>
      </x:c>
      <x:c r="E55" s="16" t="str">
        <x:v>Language and access</x:v>
      </x:c>
      <x:c r="F55" s="16" t="str">
        <x:v>An Assamese explanation aloud</x:v>
      </x:c>
      <x:c r="G55" s="24" t="str">
        <x:v>Highlight explanation area on Assamese card, not just heading.</x:v>
      </x:c>
      <x:c r="H55" s="24" t="str">
        <x:v>The explanation matters in Assamese too.</x:v>
      </x:c>
      <x:c r="I55" s="24" t="str">
        <x:v>An Assamese lesson needs the whole method.</x:v>
      </x:c>
      <x:c r="J55" s="16" t="str">
        <x:v>Attempt before reveal</x:v>
      </x:c>
      <x:c r="K55" s="16" t="str">
        <x:v>Overhead props + voiceover</x:v>
      </x:c>
      <x:c r="L55" s="16" t="str">
        <x:v>Comment the topic you want explained next.</x:v>
      </x:c>
      <x:c r="M55" s="16" t="str">
        <x:v>EXPLAIN THE WHOLE METHOD</x:v>
      </x:c>
      <x:c r="N55" s="16" t="str">
        <x:v>Translate the explanation along with the question.</x:v>
      </x:c>
      <x:c r="O55" s="16" t="str">
        <x:v>Assamese, bilingual education, ratio</x:v>
      </x:c>
      <x:c r="P55" s="16" t="str">
        <x:v>#AxomRank #AssamExams #StudyPractice</x:v>
      </x:c>
      <x:c r="Q55" s="16" t="str">
        <x:v>English voiceover draft; translate for an Assamese-led take only after fluent review.</x:v>
      </x:c>
      <x:c r="R55" s="16" t="str">
        <x:v>Original / brand brief</x:v>
      </x:c>
    </x:row>
    <x:row r="56" ht="96" customHeight="1">
      <x:c r="A56" s="15" t="str">
        <x:v>AR051</x:v>
      </x:c>
      <x:c r="B56" s="19" t="n">
        <x:v>51</x:v>
      </x:c>
      <x:c r="C56" s="19" t="n">
        <x:v>2</x:v>
      </x:c>
      <x:c r="D56" s="20" t="str">
        <x:v>TOFU</x:v>
      </x:c>
      <x:c r="E56" s="15" t="str">
        <x:v>Everyday maths</x:v>
      </x:c>
      <x:c r="F56" s="15" t="str">
        <x:v>Ten rupees in the wrong pile</x:v>
      </x:c>
      <x:c r="G56" s="23" t="str">
        <x:v>Move ₹10 paper token between COST and SELLING piles.</x:v>
      </x:c>
      <x:c r="H56" s="23" t="str">
        <x:v>Which pile is the percentage base?</x:v>
      </x:c>
      <x:c r="I56" s="23" t="str">
        <x:v>Profit percentage uses this pile of money.</x:v>
      </x:c>
      <x:c r="J56" s="15" t="str">
        <x:v>Attempt before reveal</x:v>
      </x:c>
      <x:c r="K56" s="15" t="str">
        <x:v>Overhead props + voiceover</x:v>
      </x:c>
      <x:c r="L56" s="15" t="str">
        <x:v>Share this with your maths practice partner.</x:v>
      </x:c>
      <x:c r="M56" s="15" t="str">
        <x:v>WHICH BASE?</x:v>
      </x:c>
      <x:c r="N56" s="15" t="str">
        <x:v>The denominator decides which percentage you calculated.</x:v>
      </x:c>
      <x:c r="O56" s="15" t="str">
        <x:v>profit percentage, arithmetic, original quiz</x:v>
      </x:c>
      <x:c r="P56" s="15" t="str">
        <x:v>#AxomRank #AssamExams #StudyPractice</x:v>
      </x:c>
      <x:c r="Q56" s="15" t="str">
        <x:v>Original arithmetic, not financial advice or an actual sale.</x:v>
      </x:c>
      <x:c r="R56" s="15" t="str">
        <x:v>Original / brand brief</x:v>
      </x:c>
    </x:row>
    <x:row r="57" ht="96" customHeight="1">
      <x:c r="A57" s="16" t="str">
        <x:v>AR052</x:v>
      </x:c>
      <x:c r="B57" s="21" t="n">
        <x:v>52</x:v>
      </x:c>
      <x:c r="C57" s="21" t="n">
        <x:v>2</x:v>
      </x:c>
      <x:c r="D57" s="22" t="str">
        <x:v>MOFU</x:v>
      </x:c>
      <x:c r="E57" s="16" t="str">
        <x:v>Study method</x:v>
      </x:c>
      <x:c r="F57" s="16" t="str">
        <x:v>A repeat attempt with the answer covered</x:v>
      </x:c>
      <x:c r="G57" s="24" t="str">
        <x:v>Cover corrected working with an opaque sheet.</x:v>
      </x:c>
      <x:c r="H57" s="24" t="str">
        <x:v>Cover the answer and attempt again.</x:v>
      </x:c>
      <x:c r="I57" s="24" t="str">
        <x:v>Can you explain it without the answer?</x:v>
      </x:c>
      <x:c r="J57" s="16" t="str">
        <x:v>Missing step reveal</x:v>
      </x:c>
      <x:c r="K57" s="16" t="str">
        <x:v>Overhead props + voiceover</x:v>
      </x:c>
      <x:c r="L57" s="16" t="str">
        <x:v>Try one covered-answer attempt now.</x:v>
      </x:c>
      <x:c r="M57" s="16" t="str">
        <x:v>COVER THE ANSWER</x:v>
      </x:c>
      <x:c r="N57" s="16" t="str">
        <x:v>A covered answer changes what you can check.</x:v>
      </x:c>
      <x:c r="O57" s="16" t="str">
        <x:v>revision, repeat practice, mistake review</x:v>
      </x:c>
      <x:c r="P57" s="16" t="str">
        <x:v>#AxomRank #AssamExams #StudyPractice</x:v>
      </x:c>
      <x:c r="Q57" s="16" t="str">
        <x:v>Suggested practice process; no unverified memory-improvement statistic.</x:v>
      </x:c>
      <x:c r="R57" s="16" t="str">
        <x:v>Original / brand brief</x:v>
      </x:c>
    </x:row>
    <x:row r="58" ht="96" customHeight="1">
      <x:c r="A58" s="15" t="str">
        <x:v>AR053</x:v>
      </x:c>
      <x:c r="B58" s="19" t="n">
        <x:v>53</x:v>
      </x:c>
      <x:c r="C58" s="19" t="n">
        <x:v>2</x:v>
      </x:c>
      <x:c r="D58" s="20" t="str">
        <x:v>TOFU</x:v>
      </x:c>
      <x:c r="E58" s="15" t="str">
        <x:v>Aspirant life</x:v>
      </x:c>
      <x:c r="F58" s="15" t="str">
        <x:v>A mistake without a public score</x:v>
      </x:c>
      <x:c r="G58" s="23" t="str">
        <x:v>Flip a blank mock-result prop face down.</x:v>
      </x:c>
      <x:c r="H58" s="23" t="str">
        <x:v>You can keep the score private.</x:v>
      </x:c>
      <x:c r="I58" s="23" t="str">
        <x:v>You can review the question privately.</x:v>
      </x:c>
      <x:c r="J58" s="15" t="str">
        <x:v>Recognisable moment</x:v>
      </x:c>
      <x:c r="K58" s="15" t="str">
        <x:v>Creator scene + voiceover</x:v>
      </x:c>
      <x:c r="L58" s="15" t="str">
        <x:v>Send this to a friend reviewing mistakes.</x:v>
      </x:c>
      <x:c r="M58" s="15" t="str">
        <x:v>REVIEW CAN BE PRIVATE</x:v>
      </x:c>
      <x:c r="N58" s="15" t="str">
        <x:v>You can learn from a result without posting it.</x:v>
      </x:c>
      <x:c r="O58" s="15" t="str">
        <x:v>mock review, student confidence, study habits</x:v>
      </x:c>
      <x:c r="P58" s="15" t="str">
        <x:v>#AxomRank #AssamExams #AssamAspirants</x:v>
      </x:c>
      <x:c r="Q58" s="15" t="str">
        <x:v>No fabricated low score; use blank result prop labelled demonstration.</x:v>
      </x:c>
      <x:c r="R58" s="15" t="str">
        <x:v>Original / brand brief</x:v>
      </x:c>
    </x:row>
    <x:row r="59" ht="96" customHeight="1">
      <x:c r="A59" s="16" t="str">
        <x:v>AR054</x:v>
      </x:c>
      <x:c r="B59" s="21" t="n">
        <x:v>54</x:v>
      </x:c>
      <x:c r="C59" s="21" t="n">
        <x:v>2</x:v>
      </x:c>
      <x:c r="D59" s="22" t="str">
        <x:v>BOFU</x:v>
      </x:c>
      <x:c r="E59" s="16" t="str">
        <x:v>Eligibility Checker</x:v>
      </x:c>
      <x:c r="F59" s="16" t="str">
        <x:v>Eligibility tool with the source beside it</x:v>
      </x:c>
      <x:c r="G59" s="24" t="str">
        <x:v>Place official-notice window beside actual checker.</x:v>
      </x:c>
      <x:c r="H59" s="24" t="str">
        <x:v>Keep the notice beside the checker.</x:v>
      </x:c>
      <x:c r="I59" s="24" t="str">
        <x:v>Keep the official notice beside this tool.</x:v>
      </x:c>
      <x:c r="J59" s="16" t="str">
        <x:v>Show the route</x:v>
      </x:c>
      <x:c r="K59" s="16" t="str">
        <x:v>Real screen demo</x:v>
      </x:c>
      <x:c r="L59" s="16" t="str">
        <x:v>Open the checker and its source notice.</x:v>
      </x:c>
      <x:c r="M59" s="16" t="str">
        <x:v>NOTICE BESIDE TOOL</x:v>
      </x:c>
      <x:c r="N59" s="16" t="str">
        <x:v>The source notice stays beside the result.</x:v>
      </x:c>
      <x:c r="O59" s="16" t="str">
        <x:v>Eligibility Checker, AxomRank, exam guidance</x:v>
      </x:c>
      <x:c r="P59" s="16" t="str">
        <x:v>#AxomRank #AssamExams #ExamPractice</x:v>
      </x:c>
      <x:c r="Q59" s="16" t="str">
        <x:v>Conditional: verify live checker, supported cycle and official criteria. Fictional example must be labelled; do not imply confirmed eligibility.</x:v>
      </x:c>
      <x:c r="R59" s="16" t="str">
        <x:v>Original / brand brief</x:v>
      </x:c>
    </x:row>
    <x:row r="60" ht="96" customHeight="1">
      <x:c r="A60" s="15" t="str">
        <x:v>AR055</x:v>
      </x:c>
      <x:c r="B60" s="19" t="n">
        <x:v>55</x:v>
      </x:c>
      <x:c r="C60" s="19" t="n">
        <x:v>2</x:v>
      </x:c>
      <x:c r="D60" s="20" t="str">
        <x:v>TOFU</x:v>
      </x:c>
      <x:c r="E60" s="15" t="str">
        <x:v>Quick challenge</x:v>
      </x:c>
      <x:c r="F60" s="15" t="str">
        <x:v>Clap the multiplication check</x:v>
      </x:c>
      <x:c r="G60" s="23" t="str">
        <x:v>Drop four small paper packets onto table on four beats.</x:v>
      </x:c>
      <x:c r="H60" s="23" t="str">
        <x:v>Four packets. Six in each.</x:v>
      </x:c>
      <x:c r="I60" s="23" t="str">
        <x:v>Four packets, six each. Count first.</x:v>
      </x:c>
      <x:c r="J60" s="15" t="str">
        <x:v>Attempt before reveal</x:v>
      </x:c>
      <x:c r="K60" s="15" t="str">
        <x:v>Overhead props + voiceover</x:v>
      </x:c>
      <x:c r="L60" s="15" t="str">
        <x:v>Comment the operation you chose.</x:v>
      </x:c>
      <x:c r="M60" s="15" t="str">
        <x:v>CHOOSE THE OPERATION</x:v>
      </x:c>
      <x:c r="N60" s="15" t="str">
        <x:v>The packet labels tell you which operation to use.</x:v>
      </x:c>
      <x:c r="O60" s="15" t="str">
        <x:v>multiplication, original quiz, basic maths</x:v>
      </x:c>
      <x:c r="P60" s="15" t="str">
        <x:v>#AxomRank #AssamExams #StudyPractice</x:v>
      </x:c>
      <x:c r="Q60" s="15" t="str">
        <x:v>Original practice; use paper tokens to keep count visible.</x:v>
      </x:c>
      <x:c r="R60" s="15" t="str">
        <x:v>Original / brand brief</x:v>
      </x:c>
    </x:row>
    <x:row r="61" ht="96" customHeight="1">
      <x:c r="A61" s="16" t="str">
        <x:v>AR056</x:v>
      </x:c>
      <x:c r="B61" s="21" t="n">
        <x:v>56</x:v>
      </x:c>
      <x:c r="C61" s="21" t="n">
        <x:v>2</x:v>
      </x:c>
      <x:c r="D61" s="22" t="str">
        <x:v>MOFU</x:v>
      </x:c>
      <x:c r="E61" s="16" t="str">
        <x:v>Community teaching</x:v>
      </x:c>
      <x:c r="F61" s="16" t="str">
        <x:v>Your explanation becomes the lesson</x:v>
      </x:c>
      <x:c r="G61" s="24" t="str">
        <x:v>Reveal a sample question card labelled creator example.</x:v>
      </x:c>
      <x:c r="H61" s="24" t="str">
        <x:v>Bring us the confusing step.</x:v>
      </x:c>
      <x:c r="I61" s="24" t="str">
        <x:v>Bring the confusing step, not a score.</x:v>
      </x:c>
      <x:c r="J61" s="16" t="str">
        <x:v>Participation prompt</x:v>
      </x:c>
      <x:c r="K61" s="16" t="str">
        <x:v>Creator-led invitation</x:v>
      </x:c>
      <x:c r="L61" s="16" t="str">
        <x:v>Comment the step you want explained.</x:v>
      </x:c>
      <x:c r="M61" s="16" t="str">
        <x:v>BRING THE STEP</x:v>
      </x:c>
      <x:c r="N61" s="16" t="str">
        <x:v>A clear question tells us where the lesson should begin.</x:v>
      </x:c>
      <x:c r="O61" s="16" t="str">
        <x:v>viewer questions, ratio, explanations</x:v>
      </x:c>
      <x:c r="P61" s="16" t="str">
        <x:v>#AxomRank #AssamExams #AssamAspirants</x:v>
      </x:c>
      <x:c r="Q61" s="16" t="str">
        <x:v>Use creator example until a real viewer request arrives; obtain consent before displaying usernames.</x:v>
      </x:c>
      <x:c r="R61" s="16" t="str">
        <x:v>Original / brand brief</x:v>
      </x:c>
    </x:row>
    <x:row r="62" ht="96" customHeight="1">
      <x:c r="A62" s="15" t="str">
        <x:v>AR057</x:v>
      </x:c>
      <x:c r="B62" s="19" t="n">
        <x:v>57</x:v>
      </x:c>
      <x:c r="C62" s="19" t="n">
        <x:v>2</x:v>
      </x:c>
      <x:c r="D62" s="20" t="str">
        <x:v>TOFU</x:v>
      </x:c>
      <x:c r="E62" s="15" t="str">
        <x:v>Assam GK</x:v>
      </x:c>
      <x:c r="F62" s="15" t="str">
        <x:v>A GK card in a different landscape</x:v>
      </x:c>
      <x:c r="G62" s="23" t="str">
        <x:v>Raise a labelled foothill illustration behind hidden answer.</x:v>
      </x:c>
      <x:c r="H62" s="23" t="str">
        <x:v>Foothills behind it. Name the sanctuary.</x:v>
      </x:c>
      <x:c r="I62" s="23" t="str">
        <x:v>Which sanctuary sits by Himalayan foothills?</x:v>
      </x:c>
      <x:c r="J62" s="15" t="str">
        <x:v>Identify before reveal</x:v>
      </x:c>
      <x:c r="K62" s="15" t="str">
        <x:v>GK card + source reveal</x:v>
      </x:c>
      <x:c r="L62" s="15" t="str">
        <x:v>Share this with your Assam GK friend.</x:v>
      </x:c>
      <x:c r="M62" s="15" t="str">
        <x:v>NAME THE SANCTUARY</x:v>
      </x:c>
      <x:c r="N62" s="15" t="str">
        <x:v>This GK clue comes from the landscape.</x:v>
      </x:c>
      <x:c r="O62" s="15" t="str">
        <x:v>Manas, Assam GK, geography</x:v>
      </x:c>
      <x:c r="P62" s="15" t="str">
        <x:v>#AxomRank #AssamExams #AssamGK</x:v>
      </x:c>
      <x:c r="Q62" s="15" t="str">
        <x:v>Source S3; use an illustration or licensed correctly identified Manas footage.</x:v>
      </x:c>
      <x:c r="R62" s="15" t="str">
        <x:v>S3</x:v>
      </x:c>
    </x:row>
    <x:row r="63" ht="96" customHeight="1">
      <x:c r="A63" s="16" t="str">
        <x:v>AR058</x:v>
      </x:c>
      <x:c r="B63" s="21" t="n">
        <x:v>58</x:v>
      </x:c>
      <x:c r="C63" s="21" t="n">
        <x:v>2</x:v>
      </x:c>
      <x:c r="D63" s="22" t="str">
        <x:v>MOFU</x:v>
      </x:c>
      <x:c r="E63" s="16" t="str">
        <x:v>Reasoning explanation</x:v>
      </x:c>
      <x:c r="F63" s="16" t="str">
        <x:v>The option elimination check</x:v>
      </x:c>
      <x:c r="G63" s="24" t="str">
        <x:v>Strike option12; pause over an empty reason line.</x:v>
      </x:c>
      <x:c r="H63" s="24" t="str">
        <x:v>Cross it out for a reason.</x:v>
      </x:c>
      <x:c r="I63" s="24" t="str">
        <x:v>Cross out an option with a reason.</x:v>
      </x:c>
      <x:c r="J63" s="16" t="str">
        <x:v>Missing step reveal</x:v>
      </x:c>
      <x:c r="K63" s="16" t="str">
        <x:v>Overhead props + voiceover</x:v>
      </x:c>
      <x:c r="L63" s="16" t="str">
        <x:v>Save this option-check example.</x:v>
      </x:c>
      <x:c r="M63" s="16" t="str">
        <x:v>WRITE THE REASON</x:v>
      </x:c>
      <x:c r="N63" s="16" t="str">
        <x:v>An eliminated option should have a visible reason.</x:v>
      </x:c>
      <x:c r="O63" s="16" t="str">
        <x:v>divisibility, reasoning, original quiz</x:v>
      </x:c>
      <x:c r="P63" s="16" t="str">
        <x:v>#AxomRank #AssamExams #StudyPractice</x:v>
      </x:c>
      <x:c r="Q63" s="16" t="str">
        <x:v>Original practice; rule for base-ten integers.</x:v>
      </x:c>
      <x:c r="R63" s="16" t="str">
        <x:v>Original / brand brief</x:v>
      </x:c>
    </x:row>
    <x:row r="64" ht="96" customHeight="1">
      <x:c r="A64" s="15" t="str">
        <x:v>AR059</x:v>
      </x:c>
      <x:c r="B64" s="19" t="n">
        <x:v>59</x:v>
      </x:c>
      <x:c r="C64" s="19" t="n">
        <x:v>2</x:v>
      </x:c>
      <x:c r="D64" s="20" t="str">
        <x:v>BOFU</x:v>
      </x:c>
      <x:c r="E64" s="15" t="str">
        <x:v>Document Vault</x:v>
      </x:c>
      <x:c r="F64" s="15" t="str">
        <x:v>What Document Vault actually offers</x:v>
      </x:c>
      <x:c r="G64" s="23" t="str">
        <x:v>Open actual Document Vault service-details screen.</x:v>
      </x:c>
      <x:c r="H64" s="23" t="str">
        <x:v>Read the service before you enquire.</x:v>
      </x:c>
      <x:c r="I64" s="23" t="str">
        <x:v>Check the service details before an enquiry.</x:v>
      </x:c>
      <x:c r="J64" s="15" t="str">
        <x:v>Show the route</x:v>
      </x:c>
      <x:c r="K64" s="15" t="str">
        <x:v>Real screen demo</x:v>
      </x:c>
      <x:c r="L64" s="15" t="str">
        <x:v>Enquire through the shown Document Vault route.</x:v>
      </x:c>
      <x:c r="M64" s="15" t="str">
        <x:v>READ THE SERVICE</x:v>
      </x:c>
      <x:c r="N64" s="15" t="str">
        <x:v>Know the service scope before sending an enquiry.</x:v>
      </x:c>
      <x:c r="O64" s="15" t="str">
        <x:v>Document Vault, AxomRank, service enquiry</x:v>
      </x:c>
      <x:c r="P64" s="15" t="str">
        <x:v>#AxomRank #AssamExams #ExamPractice</x:v>
      </x:c>
      <x:c r="Q64" s="15" t="str">
        <x:v>Conditional: verify live service, scope and contact route. No storage-security or guaranteed-processing claim.</x:v>
      </x:c>
      <x:c r="R64" s="15" t="str">
        <x:v>Original / brand brief</x:v>
      </x:c>
    </x:row>
    <x:row r="65" ht="96" customHeight="1">
      <x:c r="A65" s="16" t="str">
        <x:v>AR060</x:v>
      </x:c>
      <x:c r="B65" s="21" t="n">
        <x:v>60</x:v>
      </x:c>
      <x:c r="C65" s="21" t="n">
        <x:v>2</x:v>
      </x:c>
      <x:c r="D65" s="22" t="str">
        <x:v>TOFU</x:v>
      </x:c>
      <x:c r="E65" s="16" t="str">
        <x:v>Community</x:v>
      </x:c>
      <x:c r="F65" s="16" t="str">
        <x:v>Pick the next clinic</x:v>
      </x:c>
      <x:c r="G65" s="24" t="str">
        <x:v>Hold two envelopes labelled BASE and RATIO.</x:v>
      </x:c>
      <x:c r="H65" s="24" t="str">
        <x:v>Choose our next wrong-answer clinic.</x:v>
      </x:c>
      <x:c r="I65" s="24" t="str">
        <x:v>Which mistake should we explain next?</x:v>
      </x:c>
      <x:c r="J65" s="16" t="str">
        <x:v>Participation prompt</x:v>
      </x:c>
      <x:c r="K65" s="16" t="str">
        <x:v>Creator-led invitation</x:v>
      </x:c>
      <x:c r="L65" s="16" t="str">
        <x:v>Comment “base” or “ratio” with your question.</x:v>
      </x:c>
      <x:c r="M65" s="16" t="str">
        <x:v>CHOOSE THE CLINIC</x:v>
      </x:c>
      <x:c r="N65" s="16" t="str">
        <x:v>A specific confusion can become the next lesson.</x:v>
      </x:c>
      <x:c r="O65" s="16" t="str">
        <x:v>Wrong Answer Clinic, maths, community</x:v>
      </x:c>
      <x:c r="P65" s="16" t="str">
        <x:v>#AxomRank #AssamExams #AssamAspirants</x:v>
      </x:c>
      <x:c r="Q65" s="16" t="str">
        <x:v>Use original examples; no invented viewer comments or engagement totals.</x:v>
      </x:c>
      <x:c r="R65" s="16" t="str">
        <x:v>Original / brand brief</x:v>
      </x:c>
    </x:row>
    <x:row r="66" ht="96" customHeight="1">
      <x:c r="A66" s="15" t="str">
        <x:v>AR061</x:v>
      </x:c>
      <x:c r="B66" s="19" t="n">
        <x:v>61</x:v>
      </x:c>
      <x:c r="C66" s="19" t="n">
        <x:v>3</x:v>
      </x:c>
      <x:c r="D66" s="20" t="str">
        <x:v>TOFU</x:v>
      </x:c>
      <x:c r="E66" s="15" t="str">
        <x:v>Aspirant life</x:v>
      </x:c>
      <x:c r="F66" s="15" t="str">
        <x:v>The calendar square after a gap</x:v>
      </x:c>
      <x:c r="G66" s="23" t="str">
        <x:v>Pencil hovers over blank calendar squares.</x:v>
      </x:c>
      <x:c r="H66" s="23" t="str">
        <x:v>There is a gap on the calendar.</x:v>
      </x:c>
      <x:c r="I66" s="23" t="str">
        <x:v>You can put a task in today’s square.</x:v>
      </x:c>
      <x:c r="J66" s="15" t="str">
        <x:v>Recognisable moment</x:v>
      </x:c>
      <x:c r="K66" s="15" t="str">
        <x:v>Creator scene + voiceover</x:v>
      </x:c>
      <x:c r="L66" s="15" t="str">
        <x:v>Share this with someone restarting their practice.</x:v>
      </x:c>
      <x:c r="M66" s="15" t="str">
        <x:v>AFTER A GAP</x:v>
      </x:c>
      <x:c r="N66" s="15" t="str">
        <x:v>Today’s square can hold a real task.</x:v>
      </x:c>
      <x:c r="O66" s="15" t="str">
        <x:v>study restart, exam practice, student life</x:v>
      </x:c>
      <x:c r="P66" s="15" t="str">
        <x:v>#AxomRank #AssamExams #AssamAspirants</x:v>
      </x:c>
      <x:c r="Q66" s="15" t="str">
        <x:v>Use a demonstration calendar; do not fabricate streaks or claim guaranteed habit improvement.</x:v>
      </x:c>
      <x:c r="R66" s="15" t="str">
        <x:v>Original / brand brief</x:v>
      </x:c>
    </x:row>
    <x:row r="67" ht="96" customHeight="1">
      <x:c r="A67" s="16" t="str">
        <x:v>AR062</x:v>
      </x:c>
      <x:c r="B67" s="21" t="n">
        <x:v>62</x:v>
      </x:c>
      <x:c r="C67" s="21" t="n">
        <x:v>3</x:v>
      </x:c>
      <x:c r="D67" s="22" t="str">
        <x:v>MOFU</x:v>
      </x:c>
      <x:c r="E67" s="16" t="str">
        <x:v>Maths explanation</x:v>
      </x:c>
      <x:c r="F67" s="16" t="str">
        <x:v>Speed needs distance and time</x:v>
      </x:c>
      <x:c r="G67" s="24" t="str">
        <x:v>Move paper bus along60km route beneath2h clock.</x:v>
      </x:c>
      <x:c r="H67" s="24" t="str">
        <x:v>Sixty kilometres. Two hours. Find speed.</x:v>
      </x:c>
      <x:c r="I67" s="24" t="str">
        <x:v>Sixty kilometres took two hours.</x:v>
      </x:c>
      <x:c r="J67" s="16" t="str">
        <x:v>Missing step reveal</x:v>
      </x:c>
      <x:c r="K67" s="16" t="str">
        <x:v>Overhead props + voiceover</x:v>
      </x:c>
      <x:c r="L67" s="16" t="str">
        <x:v>Save this distance-over-time example.</x:v>
      </x:c>
      <x:c r="M67" s="16" t="str">
        <x:v>DISTANCE AND TIME</x:v>
      </x:c>
      <x:c r="N67" s="16" t="str">
        <x:v>The units explain the rate you calculated.</x:v>
      </x:c>
      <x:c r="O67" s="16" t="str">
        <x:v>speed distance time, arithmetic, explanation</x:v>
      </x:c>
      <x:c r="P67" s="16" t="str">
        <x:v>#AxomRank #AssamExams #StudyPractice</x:v>
      </x:c>
      <x:c r="Q67" s="16" t="str">
        <x:v>Original simplified journey; no actual route time or transport schedule implied.</x:v>
      </x:c>
      <x:c r="R67" s="16" t="str">
        <x:v>Original / brand brief</x:v>
      </x:c>
    </x:row>
    <x:row r="68" ht="96" customHeight="1">
      <x:c r="A68" s="15" t="str">
        <x:v>AR063</x:v>
      </x:c>
      <x:c r="B68" s="19" t="n">
        <x:v>63</x:v>
      </x:c>
      <x:c r="C68" s="19" t="n">
        <x:v>3</x:v>
      </x:c>
      <x:c r="D68" s="20" t="str">
        <x:v>TOFU</x:v>
      </x:c>
      <x:c r="E68" s="15" t="str">
        <x:v>Everyday maths</x:v>
      </x:c>
      <x:c r="F68" s="15" t="str">
        <x:v>The decimal point moved</x:v>
      </x:c>
      <x:c r="G68" s="23" t="str">
        <x:v>Slide a decimal point between0.5 and0.05 cards.</x:v>
      </x:c>
      <x:c r="H68" s="23" t="str">
        <x:v>That dot changed the value.</x:v>
      </x:c>
      <x:c r="I68" s="23" t="str">
        <x:v>Half and five hundredths are different.</x:v>
      </x:c>
      <x:c r="J68" s="15" t="str">
        <x:v>Attempt before reveal</x:v>
      </x:c>
      <x:c r="K68" s="15" t="str">
        <x:v>Overhead props + voiceover</x:v>
      </x:c>
      <x:c r="L68" s="15" t="str">
        <x:v>Comment which value is larger.</x:v>
      </x:c>
      <x:c r="M68" s="15" t="str">
        <x:v>THE DOT MATTERS</x:v>
      </x:c>
      <x:c r="N68" s="15" t="str">
        <x:v>One extra zero changes the place value.</x:v>
      </x:c>
      <x:c r="O68" s="15" t="str">
        <x:v>decimals, maths quiz, original practice</x:v>
      </x:c>
      <x:c r="P68" s="15" t="str">
        <x:v>#AxomRank #AssamExams #StudyPractice</x:v>
      </x:c>
      <x:c r="Q68" s="15" t="str">
        <x:v>Original practice; represent both grids out of100 cells.</x:v>
      </x:c>
      <x:c r="R68" s="15" t="str">
        <x:v>Original / brand brief</x:v>
      </x:c>
    </x:row>
    <x:row r="69" ht="96" customHeight="1">
      <x:c r="A69" s="16" t="str">
        <x:v>AR064</x:v>
      </x:c>
      <x:c r="B69" s="21" t="n">
        <x:v>64</x:v>
      </x:c>
      <x:c r="C69" s="21" t="n">
        <x:v>3</x:v>
      </x:c>
      <x:c r="D69" s="22" t="str">
        <x:v>BOFU</x:v>
      </x:c>
      <x:c r="E69" s="16" t="str">
        <x:v>Repeat practice</x:v>
      </x:c>
      <x:c r="F69" s="16" t="str">
        <x:v>Return to a specific next set</x:v>
      </x:c>
      <x:c r="G69" s="24" t="str">
        <x:v>Point from genuine creator review to live next-set route.</x:v>
      </x:c>
      <x:c r="H69" s="24" t="str">
        <x:v>Your next set follows this review.</x:v>
      </x:c>
      <x:c r="I69" s="24" t="str">
        <x:v>This is the next set after your review.</x:v>
      </x:c>
      <x:c r="J69" s="16" t="str">
        <x:v>Show the route</x:v>
      </x:c>
      <x:c r="K69" s="16" t="str">
        <x:v>Real screen demo</x:v>
      </x:c>
      <x:c r="L69" s="16" t="str">
        <x:v>Open the shown set for your next session.</x:v>
      </x:c>
      <x:c r="M69" s="16" t="str">
        <x:v>AFTER THE REVIEW</x:v>
      </x:c>
      <x:c r="N69" s="16" t="str">
        <x:v>Your review can point to the next available task.</x:v>
      </x:c>
      <x:c r="O69" s="16" t="str">
        <x:v>returning practice, topic sets, AxomRank</x:v>
      </x:c>
      <x:c r="P69" s="16" t="str">
        <x:v>#AxomRank #AssamExams #ExamPractice</x:v>
      </x:c>
      <x:c r="Q69" s="16" t="str">
        <x:v>Verify route and set; do not imply automatic recommendations, saved progress or reminders unless present.</x:v>
      </x:c>
      <x:c r="R69" s="16" t="str">
        <x:v>Original / brand brief</x:v>
      </x:c>
    </x:row>
    <x:row r="70" ht="96" customHeight="1">
      <x:c r="A70" s="15" t="str">
        <x:v>AR065</x:v>
      </x:c>
      <x:c r="B70" s="19" t="n">
        <x:v>65</x:v>
      </x:c>
      <x:c r="C70" s="19" t="n">
        <x:v>3</x:v>
      </x:c>
      <x:c r="D70" s="20" t="str">
        <x:v>TOFU</x:v>
      </x:c>
      <x:c r="E70" s="15" t="str">
        <x:v>Study habits</x:v>
      </x:c>
      <x:c r="F70" s="15" t="str">
        <x:v>The timer rang before the review</x:v>
      </x:c>
      <x:c r="G70" s="23" t="str">
        <x:v>Timer sounds; hand starts closing notebook.</x:v>
      </x:c>
      <x:c r="H70" s="23" t="str">
        <x:v>The timer rang before your review.</x:v>
      </x:c>
      <x:c r="I70" s="23" t="str">
        <x:v>The timer rang. Leave a review marker.</x:v>
      </x:c>
      <x:c r="J70" s="15" t="str">
        <x:v>Attempt before reveal</x:v>
      </x:c>
      <x:c r="K70" s="15" t="str">
        <x:v>Overhead props + voiceover</x:v>
      </x:c>
      <x:c r="L70" s="15" t="str">
        <x:v>Send this to your timed-practice partner.</x:v>
      </x:c>
      <x:c r="M70" s="15" t="str">
        <x:v>TIMER FINISHED</x:v>
      </x:c>
      <x:c r="N70" s="15" t="str">
        <x:v>The end of the timer can leave a useful review marker.</x:v>
      </x:c>
      <x:c r="O70" s="15" t="str">
        <x:v>timed practice, mock review, study habits</x:v>
      </x:c>
      <x:c r="P70" s="15" t="str">
        <x:v>#AxomRank #AssamExams #StudyPractice</x:v>
      </x:c>
      <x:c r="Q70" s="15" t="str">
        <x:v>Demonstration timer; no invented test or productivity result.</x:v>
      </x:c>
      <x:c r="R70" s="15" t="str">
        <x:v>Original / brand brief</x:v>
      </x:c>
    </x:row>
    <x:row r="71" ht="96" customHeight="1">
      <x:c r="A71" s="16" t="str">
        <x:v>AR066</x:v>
      </x:c>
      <x:c r="B71" s="21" t="n">
        <x:v>66</x:v>
      </x:c>
      <x:c r="C71" s="21" t="n">
        <x:v>3</x:v>
      </x:c>
      <x:c r="D71" s="22" t="str">
        <x:v>MOFU</x:v>
      </x:c>
      <x:c r="E71" s="16" t="str">
        <x:v>Maths explanation</x:v>
      </x:c>
      <x:c r="F71" s="16" t="str">
        <x:v>Half an hour is not point five minutes</x:v>
      </x:c>
      <x:c r="G71" s="24" t="str">
        <x:v>Move0.5 card from HOURS label towards MINUTES.</x:v>
      </x:c>
      <x:c r="H71" s="24" t="str">
        <x:v>Point five hours is thirty minutes.</x:v>
      </x:c>
      <x:c r="I71" s="24" t="str">
        <x:v>Point five hours needs a unit conversion.</x:v>
      </x:c>
      <x:c r="J71" s="16" t="str">
        <x:v>Missing step reveal</x:v>
      </x:c>
      <x:c r="K71" s="16" t="str">
        <x:v>Overhead props + voiceover</x:v>
      </x:c>
      <x:c r="L71" s="16" t="str">
        <x:v>Save this hours-to-minutes method.</x:v>
      </x:c>
      <x:c r="M71" s="16" t="str">
        <x:v>CHECK THE UNIT</x:v>
      </x:c>
      <x:c r="N71" s="16" t="str">
        <x:v>The same decimal can describe different units.</x:v>
      </x:c>
      <x:c r="O71" s="16" t="str">
        <x:v>time conversion, decimals, arithmetic</x:v>
      </x:c>
      <x:c r="P71" s="16" t="str">
        <x:v>#AxomRank #AssamExams #StudyPractice</x:v>
      </x:c>
      <x:c r="Q71" s="16" t="str">
        <x:v>Original unit conversion; answer30min, not0.5min.</x:v>
      </x:c>
      <x:c r="R71" s="16" t="str">
        <x:v>Original / brand brief</x:v>
      </x:c>
    </x:row>
    <x:row r="72" ht="96" customHeight="1">
      <x:c r="A72" s="15" t="str">
        <x:v>AR067</x:v>
      </x:c>
      <x:c r="B72" s="19" t="n">
        <x:v>67</x:v>
      </x:c>
      <x:c r="C72" s="19" t="n">
        <x:v>3</x:v>
      </x:c>
      <x:c r="D72" s="20" t="str">
        <x:v>TOFU</x:v>
      </x:c>
      <x:c r="E72" s="15" t="str">
        <x:v>Aspirant life</x:v>
      </x:c>
      <x:c r="F72" s="15" t="str">
        <x:v>A note to tomorrow’s self</x:v>
      </x:c>
      <x:c r="G72" s="23" t="str">
        <x:v>Fold a long motivational note into a small numbered slip.</x:v>
      </x:c>
      <x:c r="H72" s="23" t="str">
        <x:v>Tomorrow needs this question number.</x:v>
      </x:c>
      <x:c r="I72" s="23" t="str">
        <x:v>Tomorrow needs a question number, not a speech.</x:v>
      </x:c>
      <x:c r="J72" s="15" t="str">
        <x:v>Recognisable moment</x:v>
      </x:c>
      <x:c r="K72" s="15" t="str">
        <x:v>Creator scene + voiceover</x:v>
      </x:c>
      <x:c r="L72" s="15" t="str">
        <x:v>Share this with your tomorrow-study friend.</x:v>
      </x:c>
      <x:c r="M72" s="15" t="str">
        <x:v>WRITE THE QUESTION NUMBER</x:v>
      </x:c>
      <x:c r="N72" s="15" t="str">
        <x:v>Write tomorrow a starting point it can use.</x:v>
      </x:c>
      <x:c r="O72" s="15" t="str">
        <x:v>study planning, revision, student routine</x:v>
      </x:c>
      <x:c r="P72" s="15" t="str">
        <x:v>#AxomRank #AssamExams #AssamAspirants</x:v>
      </x:c>
      <x:c r="Q72" s="15" t="str">
        <x:v>Creator demonstration; do not claim this changes scores or saves a fixed amount of time.</x:v>
      </x:c>
      <x:c r="R72" s="15" t="str">
        <x:v>Original / brand brief</x:v>
      </x:c>
    </x:row>
    <x:row r="73" ht="96" customHeight="1">
      <x:c r="A73" s="16" t="str">
        <x:v>AR068</x:v>
      </x:c>
      <x:c r="B73" s="21" t="n">
        <x:v>68</x:v>
      </x:c>
      <x:c r="C73" s="21" t="n">
        <x:v>3</x:v>
      </x:c>
      <x:c r="D73" s="22" t="str">
        <x:v>MOFU</x:v>
      </x:c>
      <x:c r="E73" s="16" t="str">
        <x:v>Maths explanation</x:v>
      </x:c>
      <x:c r="F73" s="16" t="str">
        <x:v>Undo the plus seven</x:v>
      </x:c>
      <x:c r="G73" s="24" t="str">
        <x:v>Remove seven tokens from both balance trays.</x:v>
      </x:c>
      <x:c r="H73" s="24" t="str">
        <x:v>Undo seven on both sides.</x:v>
      </x:c>
      <x:c r="I73" s="24" t="str">
        <x:v>Keep both sides equal when you undo it.</x:v>
      </x:c>
      <x:c r="J73" s="16" t="str">
        <x:v>Missing step reveal</x:v>
      </x:c>
      <x:c r="K73" s="16" t="str">
        <x:v>Overhead props + voiceover</x:v>
      </x:c>
      <x:c r="L73" s="16" t="str">
        <x:v>Save this equation-and-check method.</x:v>
      </x:c>
      <x:c r="M73" s="16" t="str">
        <x:v>BOTH SIDES</x:v>
      </x:c>
      <x:c r="N73" s="16" t="str">
        <x:v>The same operation keeps both sides equal.</x:v>
      </x:c>
      <x:c r="O73" s="16" t="str">
        <x:v>basic algebra, original practice, equations</x:v>
      </x:c>
      <x:c r="P73" s="16" t="str">
        <x:v>#AxomRank #AssamExams #StudyPractice</x:v>
      </x:c>
      <x:c r="Q73" s="16" t="str">
        <x:v>Original equation; visual balance is illustrative, not a physical proof setup.</x:v>
      </x:c>
      <x:c r="R73" s="16" t="str">
        <x:v>Original / brand brief</x:v>
      </x:c>
    </x:row>
    <x:row r="74" ht="96" customHeight="1">
      <x:c r="A74" s="15" t="str">
        <x:v>AR069</x:v>
      </x:c>
      <x:c r="B74" s="19" t="n">
        <x:v>69</x:v>
      </x:c>
      <x:c r="C74" s="19" t="n">
        <x:v>3</x:v>
      </x:c>
      <x:c r="D74" s="20" t="str">
        <x:v>BOFU</x:v>
      </x:c>
      <x:c r="E74" s="15" t="str">
        <x:v>PYQ Bank</x:v>
      </x:c>
      <x:c r="F74" s="15" t="str">
        <x:v>Inspect a real PYQ record</x:v>
      </x:c>
      <x:c r="G74" s="23" t="str">
        <x:v>Zoom into source line on actual PYQ record.</x:v>
      </x:c>
      <x:c r="H74" s="23" t="str">
        <x:v>Keep the paper details with this question.</x:v>
      </x:c>
      <x:c r="I74" s="23" t="str">
        <x:v>Check the source before attempting this PYQ.</x:v>
      </x:c>
      <x:c r="J74" s="15" t="str">
        <x:v>Show the route</x:v>
      </x:c>
      <x:c r="K74" s="15" t="str">
        <x:v>Real screen demo</x:v>
      </x:c>
      <x:c r="L74" s="15" t="str">
        <x:v>Open the shown PYQ collection.</x:v>
      </x:c>
      <x:c r="M74" s="15" t="str">
        <x:v>SOURCE BESIDE QUESTION</x:v>
      </x:c>
      <x:c r="N74" s="15" t="str">
        <x:v>A past-paper record should carry its paper details.</x:v>
      </x:c>
      <x:c r="O74" s="15" t="str">
        <x:v>PYQ Bank, AxomRank, exam questions</x:v>
      </x:c>
      <x:c r="P74" s="15" t="str">
        <x:v>#AxomRank #AssamExams #ExamPractice</x:v>
      </x:c>
      <x:c r="Q74" s="15" t="str">
        <x:v>Conditional: verify live PYQ Bank and original paper/key provenance. Do not promote unsourced questions as PYQs.</x:v>
      </x:c>
      <x:c r="R74" s="15" t="str">
        <x:v>Original / brand brief</x:v>
      </x:c>
    </x:row>
    <x:row r="75" ht="96" customHeight="1">
      <x:c r="A75" s="16" t="str">
        <x:v>AR070</x:v>
      </x:c>
      <x:c r="B75" s="21" t="n">
        <x:v>70</x:v>
      </x:c>
      <x:c r="C75" s="21" t="n">
        <x:v>3</x:v>
      </x:c>
      <x:c r="D75" s="22" t="str">
        <x:v>TOFU</x:v>
      </x:c>
      <x:c r="E75" s="16" t="str">
        <x:v>Assam GK</x:v>
      </x:c>
      <x:c r="F75" s="16" t="str">
        <x:v>The GK cards got shuffled</x:v>
      </x:c>
      <x:c r="G75" s="24" t="str">
        <x:v>ShuffleSivasagar/Brahmaputra labels under two images.</x:v>
      </x:c>
      <x:c r="H75" s="24" t="str">
        <x:v>These labels landed on wrong cards.</x:v>
      </x:c>
      <x:c r="I75" s="24" t="str">
        <x:v>These two labels landed on the wrong cards.</x:v>
      </x:c>
      <x:c r="J75" s="16" t="str">
        <x:v>Identify before reveal</x:v>
      </x:c>
      <x:c r="K75" s="16" t="str">
        <x:v>GK card + source reveal</x:v>
      </x:c>
      <x:c r="L75" s="16" t="str">
        <x:v>Comment the pair you matched first.</x:v>
      </x:c>
      <x:c r="M75" s="16" t="str">
        <x:v>FIX THE MATCH</x:v>
      </x:c>
      <x:c r="N75" s="16" t="str">
        <x:v>The clue asks for a relationship, not just a familiar name.</x:v>
      </x:c>
      <x:c r="O75" s="16" t="str">
        <x:v>Assam GK, Rang Ghar, Majuli</x:v>
      </x:c>
      <x:c r="P75" s="16" t="str">
        <x:v>#AxomRank #AssamExams #AssamGK</x:v>
      </x:c>
      <x:c r="Q75" s="16" t="str">
        <x:v>Sources S1 and S4. Make deliberately wrong pairings visibly a question, never a standalone fact card.</x:v>
      </x:c>
      <x:c r="R75" s="16" t="str">
        <x:v>S1, S4</x:v>
      </x:c>
    </x:row>
    <x:row r="76" ht="96" customHeight="1">
      <x:c r="A76" s="15" t="str">
        <x:v>AR071</x:v>
      </x:c>
      <x:c r="B76" s="19" t="n">
        <x:v>71</x:v>
      </x:c>
      <x:c r="C76" s="19" t="n">
        <x:v>3</x:v>
      </x:c>
      <x:c r="D76" s="20" t="str">
        <x:v>TOFU</x:v>
      </x:c>
      <x:c r="E76" s="15" t="str">
        <x:v>Quick challenge</x:v>
      </x:c>
      <x:c r="F76" s="15" t="str">
        <x:v>A quarter hour on the clock</x:v>
      </x:c>
      <x:c r="G76" s="23" t="str">
        <x:v>Cover three quadrants of a clock face.</x:v>
      </x:c>
      <x:c r="H76" s="23" t="str">
        <x:v>A quarter hour. How many minutes?</x:v>
      </x:c>
      <x:c r="I76" s="23" t="str">
        <x:v>A quarter of this hour is how long?</x:v>
      </x:c>
      <x:c r="J76" s="15" t="str">
        <x:v>Attempt before reveal</x:v>
      </x:c>
      <x:c r="K76" s="15" t="str">
        <x:v>Overhead props + voiceover</x:v>
      </x:c>
      <x:c r="L76" s="15" t="str">
        <x:v>Comment the minutes before the reveal.</x:v>
      </x:c>
      <x:c r="M76" s="15" t="str">
        <x:v>A QUARTER HOUR</x:v>
      </x:c>
      <x:c r="N76" s="15" t="str">
        <x:v>The clock face contains a fraction question.</x:v>
      </x:c>
      <x:c r="O76" s="15" t="str">
        <x:v>time conversion, fractions, quick quiz</x:v>
      </x:c>
      <x:c r="P76" s="15" t="str">
        <x:v>#AxomRank #AssamExams #StudyPractice</x:v>
      </x:c>
      <x:c r="Q76" s="15" t="str">
        <x:v>Original unit/fraction practice; do not confuse quarter-hour duration with clock time.</x:v>
      </x:c>
      <x:c r="R76" s="15" t="str">
        <x:v>Original / brand brief</x:v>
      </x:c>
    </x:row>
    <x:row r="77" ht="96" customHeight="1">
      <x:c r="A77" s="16" t="str">
        <x:v>AR072</x:v>
      </x:c>
      <x:c r="B77" s="21" t="n">
        <x:v>72</x:v>
      </x:c>
      <x:c r="C77" s="21" t="n">
        <x:v>3</x:v>
      </x:c>
      <x:c r="D77" s="22" t="str">
        <x:v>MOFU</x:v>
      </x:c>
      <x:c r="E77" s="16" t="str">
        <x:v>Maths explanation</x:v>
      </x:c>
      <x:c r="F77" s="16" t="str">
        <x:v>One red token in four</x:v>
      </x:c>
      <x:c r="G77" s="24" t="str">
        <x:v>Drop one red and three blue tokens into clear bag.</x:v>
      </x:c>
      <x:c r="H77" s="24" t="str">
        <x:v>One red token. Four altogether.</x:v>
      </x:c>
      <x:c r="I77" s="24" t="str">
        <x:v>Count every token before the probability.</x:v>
      </x:c>
      <x:c r="J77" s="16" t="str">
        <x:v>Missing step reveal</x:v>
      </x:c>
      <x:c r="K77" s="16" t="str">
        <x:v>Overhead props + voiceover</x:v>
      </x:c>
      <x:c r="L77" s="16" t="str">
        <x:v>Save this one-out-of-four example.</x:v>
      </x:c>
      <x:c r="M77" s="16" t="str">
        <x:v>COUNT ALL FOUR</x:v>
      </x:c>
      <x:c r="N77" s="16" t="str">
        <x:v>The denominator counts every possible token.</x:v>
      </x:c>
      <x:c r="O77" s="16" t="str">
        <x:v>probability, fractions, maths explanation</x:v>
      </x:c>
      <x:c r="P77" s="16" t="str">
        <x:v>#AxomRank #AssamExams #StudyPractice</x:v>
      </x:c>
      <x:c r="Q77" s="16" t="str">
        <x:v>Original probability; explicitly state uniform random choice and single draw.</x:v>
      </x:c>
      <x:c r="R77" s="16" t="str">
        <x:v>Original / brand brief</x:v>
      </x:c>
    </x:row>
    <x:row r="78" ht="96" customHeight="1">
      <x:c r="A78" s="15" t="str">
        <x:v>AR073</x:v>
      </x:c>
      <x:c r="B78" s="19" t="n">
        <x:v>73</x:v>
      </x:c>
      <x:c r="C78" s="19" t="n">
        <x:v>3</x:v>
      </x:c>
      <x:c r="D78" s="20" t="str">
        <x:v>TOFU</x:v>
      </x:c>
      <x:c r="E78" s="15" t="str">
        <x:v>Community story</x:v>
      </x:c>
      <x:c r="F78" s="15" t="str">
        <x:v>Someone keeps the room quiet</x:v>
      </x:c>
      <x:c r="G78" s="23" t="str">
        <x:v>Hand gently lowers television-volume control.</x:v>
      </x:c>
      <x:c r="H78" s="23" t="str">
        <x:v>Someone kept this corner quiet.</x:v>
      </x:c>
      <x:c r="I78" s="23" t="str">
        <x:v>A small favour can protect a study window.</x:v>
      </x:c>
      <x:c r="J78" s="15" t="str">
        <x:v>Recognisable moment</x:v>
      </x:c>
      <x:c r="K78" s="15" t="str">
        <x:v>Creator scene + voiceover</x:v>
      </x:c>
      <x:c r="L78" s="15" t="str">
        <x:v>Send this to someone who supports your study.</x:v>
      </x:c>
      <x:c r="M78" s="15" t="str">
        <x:v>A SMALL FAVOUR</x:v>
      </x:c>
      <x:c r="N78" s="15" t="str">
        <x:v>Some support looks like a quieter room.</x:v>
      </x:c>
      <x:c r="O78" s="15" t="str">
        <x:v>study support, Assam students, community</x:v>
      </x:c>
      <x:c r="P78" s="15" t="str">
        <x:v>#AxomRank #AssamExams #AssamAspirants</x:v>
      </x:c>
      <x:c r="Q78" s="15" t="str">
        <x:v>Staged scene with consenting adults; adapt to real relationship, no guilt or gendered chore assumptions.</x:v>
      </x:c>
      <x:c r="R78" s="15" t="str">
        <x:v>Original / brand brief</x:v>
      </x:c>
    </x:row>
    <x:row r="79" ht="96" customHeight="1">
      <x:c r="A79" s="16" t="str">
        <x:v>AR074</x:v>
      </x:c>
      <x:c r="B79" s="21" t="n">
        <x:v>74</x:v>
      </x:c>
      <x:c r="C79" s="21" t="n">
        <x:v>3</x:v>
      </x:c>
      <x:c r="D79" s="22" t="str">
        <x:v>BOFU</x:v>
      </x:c>
      <x:c r="E79" s="16" t="str">
        <x:v>Assamese product access</x:v>
      </x:c>
      <x:c r="F79" s="16" t="str">
        <x:v>Show the available language route</x:v>
      </x:c>
      <x:c r="G79" s="24" t="str">
        <x:v>Reveal actual Assamese question screen in close-up.</x:v>
      </x:c>
      <x:c r="H79" s="24" t="str">
        <x:v>Choose the language you can follow.</x:v>
      </x:c>
      <x:c r="I79" s="24" t="str">
        <x:v>Here is the actual Assamese practice route.</x:v>
      </x:c>
      <x:c r="J79" s="16" t="str">
        <x:v>Show the route</x:v>
      </x:c>
      <x:c r="K79" s="16" t="str">
        <x:v>Real screen demo</x:v>
      </x:c>
      <x:c r="L79" s="16" t="str">
        <x:v>Open the shown Assamese practice option.</x:v>
      </x:c>
      <x:c r="M79" s="16" t="str">
        <x:v>CHOOSE YOUR LANGUAGE</x:v>
      </x:c>
      <x:c r="N79" s="16" t="str">
        <x:v>See the actual language experience before starting.</x:v>
      </x:c>
      <x:c r="O79" s="16" t="str">
        <x:v>Assamese practice, AxomRank, bilingual</x:v>
      </x:c>
      <x:c r="P79" s="16" t="str">
        <x:v>#AxomRank #AssamExams #ExamPractice</x:v>
      </x:c>
      <x:c r="Q79" s="16" t="str">
        <x:v>Conditional: verify live Assamese route, supported set and complete explanation; fluent review required.</x:v>
      </x:c>
      <x:c r="R79" s="16" t="str">
        <x:v>Original / brand brief</x:v>
      </x:c>
    </x:row>
    <x:row r="80" ht="96" customHeight="1">
      <x:c r="A80" s="15" t="str">
        <x:v>AR075</x:v>
      </x:c>
      <x:c r="B80" s="19" t="n">
        <x:v>75</x:v>
      </x:c>
      <x:c r="C80" s="19" t="n">
        <x:v>3</x:v>
      </x:c>
      <x:c r="D80" s="20" t="str">
        <x:v>TOFU</x:v>
      </x:c>
      <x:c r="E80" s="15" t="str">
        <x:v>Everyday maths</x:v>
      </x:c>
      <x:c r="F80" s="15" t="str">
        <x:v>Two scores with the same average</x:v>
      </x:c>
      <x:c r="G80" s="23" t="str">
        <x:v>Balance10/30 and19/21 cards on two trays.</x:v>
      </x:c>
      <x:c r="H80" s="23" t="str">
        <x:v>Same average. Different score pairs.</x:v>
      </x:c>
      <x:c r="I80" s="23" t="str">
        <x:v>Same average. Very different score pairs.</x:v>
      </x:c>
      <x:c r="J80" s="15" t="str">
        <x:v>Attempt before reveal</x:v>
      </x:c>
      <x:c r="K80" s="15" t="str">
        <x:v>Overhead props + voiceover</x:v>
      </x:c>
      <x:c r="L80" s="15" t="str">
        <x:v>Share this average question with a friend.</x:v>
      </x:c>
      <x:c r="M80" s="15" t="str">
        <x:v>SAME AVERAGE?</x:v>
      </x:c>
      <x:c r="N80" s="15" t="str">
        <x:v>An average does not show every detail.</x:v>
      </x:c>
      <x:c r="O80" s="15" t="str">
        <x:v>average, data interpretation, maths</x:v>
      </x:c>
      <x:c r="P80" s="15" t="str">
        <x:v>#AxomRank #AssamExams #StudyPractice</x:v>
      </x:c>
      <x:c r="Q80" s="15" t="str">
        <x:v>Invented example scores; no claims about actual learner performance.</x:v>
      </x:c>
      <x:c r="R80" s="15" t="str">
        <x:v>Original / brand brief</x:v>
      </x:c>
    </x:row>
    <x:row r="81" ht="96" customHeight="1">
      <x:c r="A81" s="16" t="str">
        <x:v>AR076</x:v>
      </x:c>
      <x:c r="B81" s="21" t="n">
        <x:v>76</x:v>
      </x:c>
      <x:c r="C81" s="21" t="n">
        <x:v>3</x:v>
      </x:c>
      <x:c r="D81" s="22" t="str">
        <x:v>MOFU</x:v>
      </x:c>
      <x:c r="E81" s="16" t="str">
        <x:v>Maths explanation</x:v>
      </x:c>
      <x:c r="F81" s="16" t="str">
        <x:v>Forty out of fifty becomes a percentage</x:v>
      </x:c>
      <x:c r="G81" s="24" t="str">
        <x:v>Place40correct tokens over50total card.</x:v>
      </x:c>
      <x:c r="H81" s="24" t="str">
        <x:v>Forty out of fifty needs conversion.</x:v>
      </x:c>
      <x:c r="I81" s="24" t="str">
        <x:v>The total is fifty, not one hundred.</x:v>
      </x:c>
      <x:c r="J81" s="16" t="str">
        <x:v>Missing step reveal</x:v>
      </x:c>
      <x:c r="K81" s="16" t="str">
        <x:v>Overhead props + voiceover</x:v>
      </x:c>
      <x:c r="L81" s="16" t="str">
        <x:v>Save this score-percentage calculation.</x:v>
      </x:c>
      <x:c r="M81" s="16" t="str">
        <x:v>USE THE ACTUAL TOTAL</x:v>
      </x:c>
      <x:c r="N81" s="16" t="str">
        <x:v>Name what the percentage measures.</x:v>
      </x:c>
      <x:c r="O81" s="16" t="str">
        <x:v>percentage, practice review, arithmetic</x:v>
      </x:c>
      <x:c r="P81" s="16" t="str">
        <x:v>#AxomRank #AssamExams #StudyPractice</x:v>
      </x:c>
      <x:c r="Q81" s="16" t="str">
        <x:v>Invented counts clearly labelled; not a real result or official scoring system.</x:v>
      </x:c>
      <x:c r="R81" s="16" t="str">
        <x:v>Original / brand brief</x:v>
      </x:c>
    </x:row>
    <x:row r="82" ht="96" customHeight="1">
      <x:c r="A82" s="15" t="str">
        <x:v>AR077</x:v>
      </x:c>
      <x:c r="B82" s="19" t="n">
        <x:v>77</x:v>
      </x:c>
      <x:c r="C82" s="19" t="n">
        <x:v>3</x:v>
      </x:c>
      <x:c r="D82" s="20" t="str">
        <x:v>TOFU</x:v>
      </x:c>
      <x:c r="E82" s="15" t="str">
        <x:v>Quick reasoning</x:v>
      </x:c>
      <x:c r="F82" s="15" t="str">
        <x:v>The rule card changes</x:v>
      </x:c>
      <x:c r="G82" s="23" t="str">
        <x:v>Flip rule card from blank to “add5”.</x:v>
      </x:c>
      <x:c r="H82" s="23" t="str">
        <x:v>The rule card changed again.</x:v>
      </x:c>
      <x:c r="I82" s="23" t="str">
        <x:v>Read the rule before continuing this series.</x:v>
      </x:c>
      <x:c r="J82" s="15" t="str">
        <x:v>Attempt before reveal</x:v>
      </x:c>
      <x:c r="K82" s="15" t="str">
        <x:v>Overhead props + voiceover</x:v>
      </x:c>
      <x:c r="L82" s="15" t="str">
        <x:v>Comment the next number before the reveal.</x:v>
      </x:c>
      <x:c r="M82" s="15" t="str">
        <x:v>READ THE RULE</x:v>
      </x:c>
      <x:c r="N82" s="15" t="str">
        <x:v>The instruction belongs above the number pattern.</x:v>
      </x:c>
      <x:c r="O82" s="15" t="str">
        <x:v>number series, reasoning, original practice</x:v>
      </x:c>
      <x:c r="P82" s="15" t="str">
        <x:v>#AxomRank #AssamExams #StudyPractice</x:v>
      </x:c>
      <x:c r="Q82" s="15" t="str">
        <x:v>Original sequence with explicit rule; avoid suggesting uniqueness without the rule.</x:v>
      </x:c>
      <x:c r="R82" s="15" t="str">
        <x:v>Original / brand brief</x:v>
      </x:c>
    </x:row>
    <x:row r="83" ht="96" customHeight="1">
      <x:c r="A83" s="16" t="str">
        <x:v>AR078</x:v>
      </x:c>
      <x:c r="B83" s="21" t="n">
        <x:v>78</x:v>
      </x:c>
      <x:c r="C83" s="21" t="n">
        <x:v>3</x:v>
      </x:c>
      <x:c r="D83" s="22" t="str">
        <x:v>MOFU</x:v>
      </x:c>
      <x:c r="E83" s="16" t="str">
        <x:v>Reasoning explanation</x:v>
      </x:c>
      <x:c r="F83" s="16" t="str">
        <x:v>The arrow only goes one way</x:v>
      </x:c>
      <x:c r="G83" s="24" t="str">
        <x:v>Draw arrow CAT→MAMMAL; stop reverse arrow.</x:v>
      </x:c>
      <x:c r="H83" s="24" t="str">
        <x:v>This arrow only goes one way.</x:v>
      </x:c>
      <x:c r="I83" s="24" t="str">
        <x:v>All cats are mammals. Reverse carefully.</x:v>
      </x:c>
      <x:c r="J83" s="16" t="str">
        <x:v>Missing step reveal</x:v>
      </x:c>
      <x:c r="K83" s="16" t="str">
        <x:v>Overhead props + voiceover</x:v>
      </x:c>
      <x:c r="L83" s="16" t="str">
        <x:v>Save this one-way inference diagram.</x:v>
      </x:c>
      <x:c r="M83" s="16" t="str">
        <x:v>ONE-WAY STATEMENT</x:v>
      </x:c>
      <x:c r="N83" s="16" t="str">
        <x:v>A statement and its reverse can mean different things.</x:v>
      </x:c>
      <x:c r="O83" s="16" t="str">
        <x:v>reasoning, inference, original practice</x:v>
      </x:c>
      <x:c r="P83" s="16" t="str">
        <x:v>#AxomRank #AssamExams #StudyPractice</x:v>
      </x:c>
      <x:c r="Q83" s="16" t="str">
        <x:v>Original elementary inference using the explicit statement; no claim about a specific exam format.</x:v>
      </x:c>
      <x:c r="R83" s="16" t="str">
        <x:v>Original / brand brief</x:v>
      </x:c>
    </x:row>
    <x:row r="84" ht="96" customHeight="1">
      <x:c r="A84" s="15" t="str">
        <x:v>AR079</x:v>
      </x:c>
      <x:c r="B84" s="19" t="n">
        <x:v>79</x:v>
      </x:c>
      <x:c r="C84" s="19" t="n">
        <x:v>3</x:v>
      </x:c>
      <x:c r="D84" s="20" t="str">
        <x:v>BOFU</x:v>
      </x:c>
      <x:c r="E84" s="15" t="str">
        <x:v>Paid access</x:v>
      </x:c>
      <x:c r="F84" s="15" t="str">
        <x:v>Read the checkout details before choosing</x:v>
      </x:c>
      <x:c r="G84" s="23" t="str">
        <x:v>Finger pauses above real payment/proceed button.</x:v>
      </x:c>
      <x:c r="H84" s="23" t="str">
        <x:v>Read this screen before paying.</x:v>
      </x:c>
      <x:c r="I84" s="23" t="str">
        <x:v>Pause at this screen before paying.</x:v>
      </x:c>
      <x:c r="J84" s="15" t="str">
        <x:v>Show the route</x:v>
      </x:c>
      <x:c r="K84" s="15" t="str">
        <x:v>Real screen demo</x:v>
      </x:c>
      <x:c r="L84" s="15" t="str">
        <x:v>Review current access options through the profile link.</x:v>
      </x:c>
      <x:c r="M84" s="15" t="str">
        <x:v>READ BEFORE PAYING</x:v>
      </x:c>
      <x:c r="N84" s="15" t="str">
        <x:v>Read the access terms at the point you choose.</x:v>
      </x:c>
      <x:c r="O84" s="15" t="str">
        <x:v>AxomRank plans, paid access, product clarity</x:v>
      </x:c>
      <x:c r="P84" s="15" t="str">
        <x:v>#AxomRank #AssamExams #ExamPractice</x:v>
      </x:c>
      <x:c r="Q84" s="15" t="str">
        <x:v>Only film live plan/checkout pages. Do not complete a purchase for the demo or invent refund policy.</x:v>
      </x:c>
      <x:c r="R84" s="15" t="str">
        <x:v>Original / brand brief</x:v>
      </x:c>
    </x:row>
    <x:row r="85" ht="96" customHeight="1">
      <x:c r="A85" s="16" t="str">
        <x:v>AR080</x:v>
      </x:c>
      <x:c r="B85" s="21" t="n">
        <x:v>80</x:v>
      </x:c>
      <x:c r="C85" s="21" t="n">
        <x:v>3</x:v>
      </x:c>
      <x:c r="D85" s="22" t="str">
        <x:v>TOFU</x:v>
      </x:c>
      <x:c r="E85" s="16" t="str">
        <x:v>Community and place</x:v>
      </x:c>
      <x:c r="F85" s="16" t="str">
        <x:v>A local sign becomes a question</x:v>
      </x:c>
      <x:c r="G85" s="24" t="str">
        <x:v>Focus-pull from creator notebook to actual place sign.</x:v>
      </x:c>
      <x:c r="H85" s="24" t="str">
        <x:v>A familiar sign can start a question.</x:v>
      </x:c>
      <x:c r="I85" s="24" t="str">
        <x:v>This familiar sign can start a lesson.</x:v>
      </x:c>
      <x:c r="J85" s="16" t="str">
        <x:v>Participation prompt</x:v>
      </x:c>
      <x:c r="K85" s="16" t="str">
        <x:v>Creator-led invitation</x:v>
      </x:c>
      <x:c r="L85" s="16" t="str">
        <x:v>Comment a sign or name to investigate.</x:v>
      </x:c>
      <x:c r="M85" s="16" t="str">
        <x:v>A FAMILIAR SIGN</x:v>
      </x:c>
      <x:c r="N85" s="16" t="str">
        <x:v>Which familiar name deserves a properly checked explanation?</x:v>
      </x:c>
      <x:c r="O85" s="16" t="str">
        <x:v>Assam places, local knowledge, community</x:v>
      </x:c>
      <x:c r="P85" s="16" t="str">
        <x:v>#AxomRank #AssamExams #AssamGK</x:v>
      </x:c>
      <x:c r="Q85" s="16" t="str">
        <x:v>Invitation/workflow, not an invented etymology. Film permitted real sign; source any later factual episode.</x:v>
      </x:c>
      <x:c r="R85" s="16" t="str">
        <x:v>Original / brand brief</x:v>
      </x:c>
    </x:row>
    <x:row r="86" ht="96" customHeight="1">
      <x:c r="A86" s="15" t="str">
        <x:v>AR081</x:v>
      </x:c>
      <x:c r="B86" s="19" t="n">
        <x:v>81</x:v>
      </x:c>
      <x:c r="C86" s="19" t="n">
        <x:v>3</x:v>
      </x:c>
      <x:c r="D86" s="20" t="str">
        <x:v>TOFU</x:v>
      </x:c>
      <x:c r="E86" s="15" t="str">
        <x:v>Study habits</x:v>
      </x:c>
      <x:c r="F86" s="15" t="str">
        <x:v>The notebook margin tells the story</x:v>
      </x:c>
      <x:c r="G86" s="23" t="str">
        <x:v>Macro shot of tiny “units?” note beside wrong working.</x:v>
      </x:c>
      <x:c r="H86" s="23" t="str">
        <x:v>Look at the notebook margin.</x:v>
      </x:c>
      <x:c r="I86" s="23" t="str">
        <x:v>This tiny note explains the wrong answer.</x:v>
      </x:c>
      <x:c r="J86" s="15" t="str">
        <x:v>Attempt before reveal</x:v>
      </x:c>
      <x:c r="K86" s="15" t="str">
        <x:v>Overhead props + voiceover</x:v>
      </x:c>
      <x:c r="L86" s="15" t="str">
        <x:v>Share this with your unit-mixing friend.</x:v>
      </x:c>
      <x:c r="M86" s="15" t="str">
        <x:v>CHECK THE MARGIN</x:v>
      </x:c>
      <x:c r="N86" s="15" t="str">
        <x:v>A small margin note can point to a specific error.</x:v>
      </x:c>
      <x:c r="O86" s="15" t="str">
        <x:v>units, maths mistake, study notebook</x:v>
      </x:c>
      <x:c r="P86" s="15" t="str">
        <x:v>#AxomRank #AssamExams #StudyPractice</x:v>
      </x:c>
      <x:c r="Q86" s="15" t="str">
        <x:v>Original practice; notebook labelled creator demonstration.</x:v>
      </x:c>
      <x:c r="R86" s="15" t="str">
        <x:v>Original / brand brief</x:v>
      </x:c>
    </x:row>
    <x:row r="87" ht="96" customHeight="1">
      <x:c r="A87" s="16" t="str">
        <x:v>AR082</x:v>
      </x:c>
      <x:c r="B87" s="21" t="n">
        <x:v>82</x:v>
      </x:c>
      <x:c r="C87" s="21" t="n">
        <x:v>3</x:v>
      </x:c>
      <x:c r="D87" s="22" t="str">
        <x:v>MOFU</x:v>
      </x:c>
      <x:c r="E87" s="16" t="str">
        <x:v>English practice</x:v>
      </x:c>
      <x:c r="F87" s="16" t="str">
        <x:v>One verb agrees with he</x:v>
      </x:c>
      <x:c r="G87" s="24" t="str">
        <x:v>Move HE card betweenGO andGOES.</x:v>
      </x:c>
      <x:c r="H87" s="24" t="str">
        <x:v>Which verb fits with he?</x:v>
      </x:c>
      <x:c r="I87" s="24" t="str">
        <x:v>The subject tells this verb what to do.</x:v>
      </x:c>
      <x:c r="J87" s="16" t="str">
        <x:v>Attempt before reveal</x:v>
      </x:c>
      <x:c r="K87" s="16" t="str">
        <x:v>Overhead props + voiceover</x:v>
      </x:c>
      <x:c r="L87" s="16" t="str">
        <x:v>Save this subject-and-verb example.</x:v>
      </x:c>
      <x:c r="M87" s="16" t="str">
        <x:v>HE GO OR GOES?</x:v>
      </x:c>
      <x:c r="N87" s="16" t="str">
        <x:v>Keep the subject next to the verb you are checking.</x:v>
      </x:c>
      <x:c r="O87" s="16" t="str">
        <x:v>English grammar, subject verb agreement, practice</x:v>
      </x:c>
      <x:c r="P87" s="16" t="str">
        <x:v>#AxomRank #AssamExams #StudyPractice</x:v>
      </x:c>
      <x:c r="Q87" s="16" t="str">
        <x:v>Original standard-English grammar practice; avoid claiming all verbs follow this exact form.</x:v>
      </x:c>
      <x:c r="R87" s="16" t="str">
        <x:v>Original / brand brief</x:v>
      </x:c>
    </x:row>
    <x:row r="88" ht="96" customHeight="1">
      <x:c r="A88" s="15" t="str">
        <x:v>AR083</x:v>
      </x:c>
      <x:c r="B88" s="19" t="n">
        <x:v>83</x:v>
      </x:c>
      <x:c r="C88" s="19" t="n">
        <x:v>3</x:v>
      </x:c>
      <x:c r="D88" s="20" t="str">
        <x:v>TOFU</x:v>
      </x:c>
      <x:c r="E88" s="15" t="str">
        <x:v>Quick challenge</x:v>
      </x:c>
      <x:c r="F88" s="15" t="str">
        <x:v>Guess what is under the rectangle</x:v>
      </x:c>
      <x:c r="G88" s="23" t="str">
        <x:v>Lift card edge to reveal part of rectangle.</x:v>
      </x:c>
      <x:c r="H88" s="23" t="str">
        <x:v>Inside or around? Choose first.</x:v>
      </x:c>
      <x:c r="I88" s="23" t="str">
        <x:v>Inside or around? Choose before it opens.</x:v>
      </x:c>
      <x:c r="J88" s="15" t="str">
        <x:v>Attempt before reveal</x:v>
      </x:c>
      <x:c r="K88" s="15" t="str">
        <x:v>Overhead props + voiceover</x:v>
      </x:c>
      <x:c r="L88" s="15" t="str">
        <x:v>Comment “inside” or “around” with your answer.</x:v>
      </x:c>
      <x:c r="M88" s="15" t="str">
        <x:v>INSIDE OR AROUND?</x:v>
      </x:c>
      <x:c r="N88" s="15" t="str">
        <x:v>A single diagram can ask two different questions.</x:v>
      </x:c>
      <x:c r="O88" s="15" t="str">
        <x:v>area, perimeter, quick challenge</x:v>
      </x:c>
      <x:c r="P88" s="15" t="str">
        <x:v>#AxomRank #AssamExams #StudyPractice</x:v>
      </x:c>
      <x:c r="Q88" s="15" t="str">
        <x:v>Original challenge; prompt viewers to specify which quantity their answer addresses.</x:v>
      </x:c>
      <x:c r="R88" s="15" t="str">
        <x:v>Original / brand brief</x:v>
      </x:c>
    </x:row>
    <x:row r="89" ht="96" customHeight="1">
      <x:c r="A89" s="16" t="str">
        <x:v>AR084</x:v>
      </x:c>
      <x:c r="B89" s="21" t="n">
        <x:v>84</x:v>
      </x:c>
      <x:c r="C89" s="21" t="n">
        <x:v>3</x:v>
      </x:c>
      <x:c r="D89" s="22" t="str">
        <x:v>BOFU</x:v>
      </x:c>
      <x:c r="E89" s="16" t="str">
        <x:v>Support and access</x:v>
      </x:c>
      <x:c r="F89" s="16" t="str">
        <x:v>The route when a learner gets stuck</x:v>
      </x:c>
      <x:c r="G89" s="24" t="str">
        <x:v>Show labelled demonstration of a generic failed step.</x:v>
      </x:c>
      <x:c r="H89" s="24" t="str">
        <x:v>Here is the route when access fails.</x:v>
      </x:c>
      <x:c r="I89" s="24" t="str">
        <x:v>Use this route for a specific access problem.</x:v>
      </x:c>
      <x:c r="J89" s="16" t="str">
        <x:v>Show the route</x:v>
      </x:c>
      <x:c r="K89" s="16" t="str">
        <x:v>Real screen demo</x:v>
      </x:c>
      <x:c r="L89" s="16" t="str">
        <x:v>Open the shown support route.</x:v>
      </x:c>
      <x:c r="M89" s="16" t="str">
        <x:v>STUCK AT A STEP?</x:v>
      </x:c>
      <x:c r="N89" s="16" t="str">
        <x:v>A useful access report names the failed step.</x:v>
      </x:c>
      <x:c r="O89" s="16" t="str">
        <x:v>AxomRank support, practice access, enquiry</x:v>
      </x:c>
      <x:c r="P89" s="16" t="str">
        <x:v>#AxomRank #AssamExams #ExamPractice</x:v>
      </x:c>
      <x:c r="Q89" s="16" t="str">
        <x:v>Verify actual support channel; generic issue labelled example, no invented outage or response time.</x:v>
      </x:c>
      <x:c r="R89" s="16" t="str">
        <x:v>Original / brand brief</x:v>
      </x:c>
    </x:row>
    <x:row r="90" ht="96" customHeight="1">
      <x:c r="A90" s="15" t="str">
        <x:v>AR085</x:v>
      </x:c>
      <x:c r="B90" s="19" t="n">
        <x:v>85</x:v>
      </x:c>
      <x:c r="C90" s="19" t="n">
        <x:v>3</x:v>
      </x:c>
      <x:c r="D90" s="20" t="str">
        <x:v>TOFU</x:v>
      </x:c>
      <x:c r="E90" s="15" t="str">
        <x:v>Community</x:v>
      </x:c>
      <x:c r="F90" s="15" t="str">
        <x:v>The friend explains a correction</x:v>
      </x:c>
      <x:c r="G90" s="23" t="str">
        <x:v>Two hands swap corrected notebook pages.</x:v>
      </x:c>
      <x:c r="H90" s="23" t="str">
        <x:v>Show the step you changed.</x:v>
      </x:c>
      <x:c r="I90" s="23" t="str">
        <x:v>Ask your friend what they changed.</x:v>
      </x:c>
      <x:c r="J90" s="15" t="str">
        <x:v>Participation prompt</x:v>
      </x:c>
      <x:c r="K90" s="15" t="str">
        <x:v>Creator-led invitation</x:v>
      </x:c>
      <x:c r="L90" s="15" t="str">
        <x:v>Send this to your review partner.</x:v>
      </x:c>
      <x:c r="M90" s="15" t="str">
        <x:v>SHOW THE CORRECTION</x:v>
      </x:c>
      <x:c r="N90" s="15" t="str">
        <x:v>Compare corrections that you can actually explain.</x:v>
      </x:c>
      <x:c r="O90" s="15" t="str">
        <x:v>study partners, correction, community</x:v>
      </x:c>
      <x:c r="P90" s="15" t="str">
        <x:v>#AxomRank #AssamExams #AssamAspirants</x:v>
      </x:c>
      <x:c r="Q90" s="15" t="str">
        <x:v>Consenting adult performers; use original examples and no claimed real learner progress.</x:v>
      </x:c>
      <x:c r="R90" s="15" t="str">
        <x:v>Original / brand brief</x:v>
      </x:c>
    </x:row>
    <x:row r="91" ht="96" customHeight="1">
      <x:c r="A91" s="16" t="str">
        <x:v>AR086</x:v>
      </x:c>
      <x:c r="B91" s="21" t="n">
        <x:v>86</x:v>
      </x:c>
      <x:c r="C91" s="21" t="n">
        <x:v>3</x:v>
      </x:c>
      <x:c r="D91" s="22" t="str">
        <x:v>MOFU</x:v>
      </x:c>
      <x:c r="E91" s="16" t="str">
        <x:v>Brand trust</x:v>
      </x:c>
      <x:c r="F91" s="16" t="str">
        <x:v>Publish a correction people can find</x:v>
      </x:c>
      <x:c r="G91" s="24" t="str">
        <x:v>Pin correction note beside sample question.</x:v>
      </x:c>
      <x:c r="H91" s="24" t="str">
        <x:v>Keep the correction visible.</x:v>
      </x:c>
      <x:c r="I91" s="24" t="str">
        <x:v>A corrected answer needs a visible note.</x:v>
      </x:c>
      <x:c r="J91" s="16" t="str">
        <x:v>Missing step reveal</x:v>
      </x:c>
      <x:c r="K91" s="16" t="str">
        <x:v>Overhead props + voiceover</x:v>
      </x:c>
      <x:c r="L91" s="16" t="str">
        <x:v>Save this correction workflow.</x:v>
      </x:c>
      <x:c r="M91" s="16" t="str">
        <x:v>VISIBLE CORRECTION</x:v>
      </x:c>
      <x:c r="N91" s="16" t="str">
        <x:v>The caption and card should carry the same corrected answer.</x:v>
      </x:c>
      <x:c r="O91" s="16" t="str">
        <x:v>teaching accuracy, corrections, AxomRank</x:v>
      </x:c>
      <x:c r="P91" s="16" t="str">
        <x:v>#AxomRank #AssamExams #StudyPractice</x:v>
      </x:c>
      <x:c r="Q91" s="16" t="str">
        <x:v>Staged correction demonstration only; never imply an actual past error without evidence.</x:v>
      </x:c>
      <x:c r="R91" s="16" t="str">
        <x:v>Original / brand brief</x:v>
      </x:c>
    </x:row>
    <x:row r="92" ht="96" customHeight="1">
      <x:c r="A92" s="15" t="str">
        <x:v>AR087</x:v>
      </x:c>
      <x:c r="B92" s="19" t="n">
        <x:v>87</x:v>
      </x:c>
      <x:c r="C92" s="19" t="n">
        <x:v>3</x:v>
      </x:c>
      <x:c r="D92" s="20" t="str">
        <x:v>TOFU</x:v>
      </x:c>
      <x:c r="E92" s="15" t="str">
        <x:v>Brand trust</x:v>
      </x:c>
      <x:c r="F92" s="15" t="str">
        <x:v>The creator catches their own typo</x:v>
      </x:c>
      <x:c r="G92" s="23" t="str">
        <x:v>Red circle lands on deliberately wrong sample answer label.</x:v>
      </x:c>
      <x:c r="H92" s="23" t="str">
        <x:v>This option needs a correction.</x:v>
      </x:c>
      <x:c r="I92" s="23" t="str">
        <x:v>Watch this option get corrected openly.</x:v>
      </x:c>
      <x:c r="J92" s="15" t="str">
        <x:v>Missing step reveal</x:v>
      </x:c>
      <x:c r="K92" s="15" t="str">
        <x:v>Overhead props + voiceover</x:v>
      </x:c>
      <x:c r="L92" s="15" t="str">
        <x:v>Save this answer-check reminder.</x:v>
      </x:c>
      <x:c r="M92" s="15" t="str">
        <x:v>CHECK THIS LABEL</x:v>
      </x:c>
      <x:c r="N92" s="15" t="str">
        <x:v>The correction should be as visible as the answer.</x:v>
      </x:c>
      <x:c r="O92" s="15" t="str">
        <x:v>AxomRank, answer checking, teaching trust</x:v>
      </x:c>
      <x:c r="P92" s="15" t="str">
        <x:v>#AxomRank #AssamExams #StudyPractice</x:v>
      </x:c>
      <x:c r="Q92" s="15" t="str">
        <x:v>Deliberately staged error must be labelled demonstration throughout; never invent a past publishing incident.</x:v>
      </x:c>
      <x:c r="R92" s="15" t="str">
        <x:v>Original / brand brief</x:v>
      </x:c>
    </x:row>
    <x:row r="93" ht="96" customHeight="1">
      <x:c r="A93" s="16" t="str">
        <x:v>AR088</x:v>
      </x:c>
      <x:c r="B93" s="21" t="n">
        <x:v>88</x:v>
      </x:c>
      <x:c r="C93" s="21" t="n">
        <x:v>3</x:v>
      </x:c>
      <x:c r="D93" s="22" t="str">
        <x:v>MOFU</x:v>
      </x:c>
      <x:c r="E93" s="16" t="str">
        <x:v>Revision practice</x:v>
      </x:c>
      <x:c r="F93" s="16" t="str">
        <x:v>A mixed set with three different checks</x:v>
      </x:c>
      <x:c r="G93" s="24" t="str">
        <x:v>Lay fraction/equation/percentage cards face down.</x:v>
      </x:c>
      <x:c r="H93" s="24" t="str">
        <x:v>Three questions. Three different checks.</x:v>
      </x:c>
      <x:c r="I93" s="24" t="str">
        <x:v>Each question needs its own check.</x:v>
      </x:c>
      <x:c r="J93" s="16" t="str">
        <x:v>Attempt before reveal</x:v>
      </x:c>
      <x:c r="K93" s="16" t="str">
        <x:v>Overhead props + voiceover</x:v>
      </x:c>
      <x:c r="L93" s="16" t="str">
        <x:v>Choose your next practice topic.</x:v>
      </x:c>
      <x:c r="M93" s="16" t="str">
        <x:v>THREE DIFFERENT CHECKS</x:v>
      </x:c>
      <x:c r="N93" s="16" t="str">
        <x:v>Different answers need different ways of checking.</x:v>
      </x:c>
      <x:c r="O93" s="16" t="str">
        <x:v>mixed revision, maths, original practice</x:v>
      </x:c>
      <x:c r="P93" s="16" t="str">
        <x:v>#AxomRank #AssamExams #StudyPractice</x:v>
      </x:c>
      <x:c r="Q93" s="16" t="str">
        <x:v>Original mixed revision; invite pause because three full attempts exceed the narration window.</x:v>
      </x:c>
      <x:c r="R93" s="16" t="str">
        <x:v>Original / brand brief</x:v>
      </x:c>
    </x:row>
    <x:row r="94" ht="96" customHeight="1">
      <x:c r="A94" s="15" t="str">
        <x:v>AR089</x:v>
      </x:c>
      <x:c r="B94" s="19" t="n">
        <x:v>89</x:v>
      </x:c>
      <x:c r="C94" s="19" t="n">
        <x:v>3</x:v>
      </x:c>
      <x:c r="D94" s="20" t="str">
        <x:v>BOFU</x:v>
      </x:c>
      <x:c r="E94" s="15" t="str">
        <x:v>Practice conversion</x:v>
      </x:c>
      <x:c r="F94" s="15" t="str">
        <x:v>Choose tonight’s available practice</x:v>
      </x:c>
      <x:c r="G94" s="23" t="str">
        <x:v>Show real mock/topic-set entry choices on phone.</x:v>
      </x:c>
      <x:c r="H94" s="23" t="str">
        <x:v>Choose tonight’s practice from this screen.</x:v>
      </x:c>
      <x:c r="I94" s="23" t="str">
        <x:v>Choose the task you can complete tonight.</x:v>
      </x:c>
      <x:c r="J94" s="15" t="str">
        <x:v>Show the route</x:v>
      </x:c>
      <x:c r="K94" s="15" t="str">
        <x:v>Real screen demo</x:v>
      </x:c>
      <x:c r="L94" s="15" t="str">
        <x:v>Open the profile link and choose your task.</x:v>
      </x:c>
      <x:c r="M94" s="15" t="str">
        <x:v>CHOOSE TONIGHT’S TASK</x:v>
      </x:c>
      <x:c r="N94" s="15" t="str">
        <x:v>The next step is a task you can actually start.</x:v>
      </x:c>
      <x:c r="O94" s="15" t="str">
        <x:v>AxomRank, start practice, Assam exams</x:v>
      </x:c>
      <x:c r="P94" s="15" t="str">
        <x:v>#AxomRank #AssamExams #ExamPractice</x:v>
      </x:c>
      <x:c r="Q94" s="15" t="str">
        <x:v>Verify current choices and destination; show only existing products and accurate access requirements.</x:v>
      </x:c>
      <x:c r="R94" s="15" t="str">
        <x:v>Original / brand brief</x:v>
      </x:c>
    </x:row>
    <x:row r="95" ht="96" customHeight="1">
      <x:c r="A95" s="16" t="str">
        <x:v>AR090</x:v>
      </x:c>
      <x:c r="B95" s="21" t="n">
        <x:v>90</x:v>
      </x:c>
      <x:c r="C95" s="21" t="n">
        <x:v>3</x:v>
      </x:c>
      <x:c r="D95" s="22" t="str">
        <x:v>TOFU</x:v>
      </x:c>
      <x:c r="E95" s="16" t="str">
        <x:v>Brand continuity</x:v>
      </x:c>
      <x:c r="F95" s="16" t="str">
        <x:v>One new question after the series</x:v>
      </x:c>
      <x:c r="G95" s="24" t="str">
        <x:v>Turn final-series page to reveal fresh question.</x:v>
      </x:c>
      <x:c r="H95" s="24" t="str">
        <x:v>The next question is already waiting.</x:v>
      </x:c>
      <x:c r="I95" s="24" t="str">
        <x:v>This series ends with your next attempt.</x:v>
      </x:c>
      <x:c r="J95" s="16" t="str">
        <x:v>Attempt before reveal</x:v>
      </x:c>
      <x:c r="K95" s="16" t="str">
        <x:v>Creator-led invitation</x:v>
      </x:c>
      <x:c r="L95" s="16" t="str">
        <x:v>Comment your next topic request.</x:v>
      </x:c>
      <x:c r="M95" s="16" t="str">
        <x:v>ONE MORE ATTEMPT</x:v>
      </x:c>
      <x:c r="N95" s="16" t="str">
        <x:v>The next series can start with your question.</x:v>
      </x:c>
      <x:c r="O95" s="16" t="str">
        <x:v>AxomRank, topic requests, practice</x:v>
      </x:c>
      <x:c r="P95" s="16" t="str">
        <x:v>#AxomRank #AssamExams #StudyPractice</x:v>
      </x:c>
      <x:c r="Q95" s="16" t="str">
        <x:v>Original practice; do not claim 90 posts have actually been published if this episode runs earlier.</x:v>
      </x:c>
      <x:c r="R95" s="16" t="str">
        <x:v>Original / brand brief</x:v>
      </x:c>
    </x:row>
  </x:sheetData>
  <x:conditionalFormatting sqref="D6:D95">
    <x:cfRule type="containsText" dxfId="0" priority="1" operator="containsText" text="TOFU"/>
    <x:cfRule type="containsText" dxfId="1" priority="2" operator="containsText" text="MOFU"/>
    <x:cfRule type="containsText" dxfId="2" priority="3" operator="containsText" text="BOFU"/>
  </x:conditionalFormatting>
  <x:conditionalFormatting sqref="Q6:Q95">
    <x:cfRule type="containsText" dxfId="3" priority="4" operator="containsText" text="Conditional:"/>
  </x:conditionalFormatting>
  <x:pageMargins left="0.7" right="0.7" top="0.75" bottom="0.75" header="0.3" footer="0.3"/>
  <x:tableParts count="1">
    <x:tablePart xmlns:r="http://schemas.openxmlformats.org/officeDocument/2006/relationships" r:id="R302fad348f594b2b"/>
  </x:tableParts>
</x:worksheet>
</file>

<file path=xl/worksheets/sheet2.xml><?xml version="1.0" encoding="utf-8"?>
<x:worksheet xmlns:x="http://schemas.openxmlformats.org/spreadsheetml/2006/main">
  <x:sheetPr>
    <x:tabColor rgb="FF292929"/>
  </x:sheetPr>
  <x:sheetViews>
    <x:sheetView showGridLines="0" workbookViewId="0">
      <x:pane xSplit="1" ySplit="5" topLeftCell="B6" activePane="bottomRight" state="frozen"/>
    </x:sheetView>
  </x:sheetViews>
  <x:sheetFormatPr defaultRowHeight="15"/>
  <x:cols>
    <x:col min="1" max="1" width="8.670000076293945" hidden="0" customWidth="1"/>
    <x:col min="2" max="2" width="27.780000686645508" hidden="0" customWidth="1"/>
    <x:col min="3" max="3" width="9.329999923706055" hidden="0" customWidth="1"/>
    <x:col min="4" max="4" width="49.439998626708984" hidden="0" customWidth="1"/>
    <x:col min="5" max="5" width="36.66999816894531" hidden="0" customWidth="1"/>
    <x:col min="6" max="6" width="38.88999938964844" hidden="0" customWidth="1"/>
    <x:col min="7" max="7" width="44.439998626708984" hidden="0" customWidth="1"/>
    <x:col min="8" max="8" width="41.66999816894531" hidden="0" customWidth="1"/>
    <x:col min="9" max="9" width="36.66999816894531" hidden="0" customWidth="1"/>
    <x:col min="10" max="10" width="9.4399995803833" hidden="0" customWidth="1"/>
    <x:col min="11" max="11" width="12.220000267028809" hidden="0" customWidth="1"/>
  </x:cols>
  <x:sheetData>
    <x:row r="1">
      <x:c r="A1" s="3"/>
      <x:c r="B1" s="3"/>
      <x:c r="C1" s="3"/>
      <x:c r="D1" s="3"/>
      <x:c r="E1" s="3"/>
      <x:c r="F1" s="3"/>
      <x:c r="G1" s="3"/>
      <x:c r="H1" s="3"/>
      <x:c r="I1" s="3"/>
      <x:c r="J1" s="3"/>
      <x:c r="K1" s="3"/>
    </x:row>
    <x:row r="2" ht="28" customHeight="1">
      <x:c r="A2" s="5" t="str">
        <x:v>AxomRank 30 Second Scripts and Shots</x:v>
      </x:c>
      <x:c r="B2" s="3"/>
      <x:c r="C2" s="3"/>
      <x:c r="D2" s="3"/>
      <x:c r="E2" s="3"/>
      <x:c r="F2" s="3"/>
      <x:c r="G2" s="3"/>
      <x:c r="H2" s="3"/>
      <x:c r="I2" s="3"/>
      <x:c r="J2" s="3"/>
      <x:c r="K2" s="3"/>
    </x:row>
    <x:row r="3" ht="30" customHeight="1">
      <x:c r="A3" s="7" t="str">
        <x:v>Read column D for the complete voiceover. Columns E–I show timed visuals, spoken lines and screen text. Use the primary hook as written.</x:v>
      </x:c>
      <x:c r="B3" s="3"/>
      <x:c r="C3" s="3"/>
      <x:c r="D3" s="3"/>
      <x:c r="E3" s="3"/>
      <x:c r="F3" s="3"/>
      <x:c r="G3" s="3"/>
      <x:c r="H3" s="3"/>
      <x:c r="I3" s="3"/>
      <x:c r="J3" s="3"/>
      <x:c r="K3" s="3"/>
    </x:row>
    <x:row r="4">
      <x:c r="A4" s="3"/>
      <x:c r="B4" s="3"/>
      <x:c r="C4" s="3"/>
      <x:c r="D4" s="3"/>
      <x:c r="E4" s="3"/>
      <x:c r="F4" s="3"/>
      <x:c r="G4" s="3"/>
      <x:c r="H4" s="3"/>
      <x:c r="I4" s="3"/>
      <x:c r="J4" s="3"/>
      <x:c r="K4" s="3"/>
    </x:row>
    <x:row r="5" ht="38" customHeight="1">
      <x:c r="A5" s="12" t="str">
        <x:v>Reel ID</x:v>
      </x:c>
      <x:c r="B5" s="13" t="str">
        <x:v>Reel idea</x:v>
      </x:c>
      <x:c r="C5" s="13" t="str">
        <x:v>Duration sec</x:v>
      </x:c>
      <x:c r="D5" s="13" t="str">
        <x:v>Complete voiceover</x:v>
      </x:c>
      <x:c r="E5" s="13" t="str">
        <x:v>Opening 0–3s</x:v>
      </x:c>
      <x:c r="F5" s="13" t="str">
        <x:v>Context beat</x:v>
      </x:c>
      <x:c r="G5" s="13" t="str">
        <x:v>Lesson / demonstration beat</x:v>
      </x:c>
      <x:c r="H5" s="13" t="str">
        <x:v>Payoff beat</x:v>
      </x:c>
      <x:c r="I5" s="13" t="str">
        <x:v>CTA 26–30s</x:v>
      </x:c>
      <x:c r="J5" s="13" t="str">
        <x:v>Words</x:v>
      </x:c>
      <x:c r="K5" s="14" t="str">
        <x:v>Target words/min</x:v>
      </x:c>
    </x:row>
    <x:row r="6" ht="150" customHeight="1">
      <x:c r="A6" s="15" t="str">
        <x:v>AR001</x:v>
      </x:c>
      <x:c r="B6" s="15" t="str">
        <x:v>The actual welcome to AxomRank</x:v>
      </x:c>
      <x:c r="C6" s="19" t="n">
        <x:v>30</x:v>
      </x:c>
      <x:c r="D6" s="15" t="str">
        <x:v>Your first AxomRank task is here. You will find questions to attempt and mistakes we explain clearly. Try this original question: fifteen percent of two hundred. Ten percent is twenty, five percent is ten, and the answer is thirty. That is the rhythm here: have a go, check the reason, then choose another question. Assam’s exam practice companion starts with practice. Follow for your next question.</x:v>
      </x:c>
      <x:c r="E6" s="23" t="str">
        <x:v>00–03s
VISUAL: Write 15% of 200=? before showing brand mark.
SAY: Your first AxomRank task is here.
TEXT: YOUR FIRST QUESTION</x:v>
      </x:c>
      <x:c r="F6" s="15" t="str">
        <x:v>03–08s
VISUAL: Show small Rang Ghar mark and question options.
SAY: You will find questions to attempt and mistakes we explain clearly.
TEXT: 15% of 200</x:v>
      </x:c>
      <x:c r="G6" s="15" t="str">
        <x:v>08–17s
VISUAL: Animate 20+10=30 with a short attempt pause.
SAY: Try this original question: fifteen percent of two hundred. Ten percent is twenty, five percent is ten, and the answer is thirty.
TEXT: 20 + 10 = 30</x:v>
      </x:c>
      <x:c r="H6" s="15" t="str">
        <x:v>17–26s
VISUAL: Show attempt → explanation → next task strip.
SAY: That is the rhythm here: have a go, check the reason, then choose another question. Assam’s exam practice companion starts with practice.
TEXT: Attempt • understand • return</x:v>
      </x:c>
      <x:c r="I6" s="15" t="str">
        <x:v>26–30s
VISUAL: End with tomorrow’s question back, answer hidden.
SAY: Follow for your next question.
TEXT: Follow for the next</x:v>
      </x:c>
      <x:c r="J6" s="25" t="n">
        <x:v>66</x:v>
      </x:c>
      <x:c r="K6" s="25" t="n">
        <x:f>J6*60/C6</x:f>
        <x:v>132</x:v>
      </x:c>
    </x:row>
    <x:row r="7" ht="150" customHeight="1">
      <x:c r="A7" s="16" t="str">
        <x:v>AR002</x:v>
      </x:c>
      <x:c r="B7" s="16" t="str">
        <x:v>The three-question diagnostic</x:v>
      </x:c>
      <x:c r="C7" s="21" t="n">
        <x:v>30</x:v>
      </x:c>
      <x:c r="D7" s="16" t="str">
        <x:v>Three questions can guide tonight’s revision. Try one percentage, one ratio, and one average question before checking answers. Use fifteen percent of two hundred, fifty split two to three, and the average of six, eight, ten. The answers are thirty, twenty for the smaller share, and eight. Mark which method you could not explain. That is a specific topic to revisit next. Choose that topic for your next session.</x:v>
      </x:c>
      <x:c r="E7" s="24" t="str">
        <x:v>00–03s
VISUAL: Fan out three topic cards.
SAY: Three questions can guide tonight’s revision.
TEXT: CHOOSE TONIGHT’S TOPIC</x:v>
      </x:c>
      <x:c r="F7" s="16" t="str">
        <x:v>03–08s
VISUAL: Show all three original questions; invite pause.
SAY: Try one percentage, one ratio, and one average question before checking answers.
TEXT: Percentage • ratio • average</x:v>
      </x:c>
      <x:c r="G7" s="16" t="str">
        <x:v>08–20s
VISUAL: Reveal compact answers with one-line working.
SAY: Use fifteen percent of two hundred, fifty split two to three, and the average of six, eight, ten. The answers are thirty, twenty for the smaller share, and eight.
TEXT: 30 • 20 • 8</x:v>
      </x:c>
      <x:c r="H7" s="16" t="str">
        <x:v>20–26s
VISUAL: Creator marks one unknown method.
SAY: Mark which method you could not explain. That is a specific topic to revisit next.
TEXT: Which method was unclear?</x:v>
      </x:c>
      <x:c r="I7" s="16" t="str">
        <x:v>26–30s
VISUAL: Move its topic card to tomorrow’s page.
SAY: Choose that topic for your next session.
TEXT: Revise that topic next</x:v>
      </x:c>
      <x:c r="J7" s="26" t="n">
        <x:v>69</x:v>
      </x:c>
      <x:c r="K7" s="26" t="n">
        <x:f>J7*60/C7</x:f>
        <x:v>138</x:v>
      </x:c>
    </x:row>
    <x:row r="8" ht="150" customHeight="1">
      <x:c r="A8" s="15" t="str">
        <x:v>AR003</x:v>
      </x:c>
      <x:c r="B8" s="15" t="str">
        <x:v>The first page of preparation</x:v>
      </x:c>
      <x:c r="C8" s="19" t="n">
        <x:v>30</x:v>
      </x:c>
      <x:c r="D8" s="15" t="str">
        <x:v>The syllabus is open. You are stuck. A long list of topics can make the first task unclear. Choose one familiar topic and try three original practice questions. Keep your working, including the step where you stopped or guessed. Use that attempt to choose what to revise next. Today’s goal is a useful first session you can actually complete. Follow AxomRank for questions to begin with.</x:v>
      </x:c>
      <x:c r="E8" s="23" t="str">
        <x:v>00–03s
VISUAL: Open a long handwritten topic list; pencil hovers.
SAY: The syllabus is open. You are stuck.
TEXT: WHERE DO I START?</x:v>
      </x:c>
      <x:c r="F8" s="15" t="str">
        <x:v>03–08s
VISUAL: Point to too many highlighted headings.
SAY: A long list of topics can make the first task unclear.
TEXT: Pick one topic</x:v>
      </x:c>
      <x:c r="G8" s="15" t="str">
        <x:v>08–17s
VISUAL: Move one topic card forward; attempt three questions.
SAY: Choose one familiar topic and try three original practice questions. Keep your working, including the step where you stopped or guessed.
TEXT: Try 3 questions</x:v>
      </x:c>
      <x:c r="H8" s="15" t="str">
        <x:v>17–26s
VISUAL: Mark one gap and write a next-session task.
SAY: Use that attempt to choose what to revise next. Today’s goal is a useful first session you can actually complete.
TEXT: Choose the next task</x:v>
      </x:c>
      <x:c r="I8" s="15" t="str">
        <x:v>26–30s
VISUAL: Close on the first page containing real working.
SAY: Follow AxomRank for questions to begin with.
TEXT: Follow for practice</x:v>
      </x:c>
      <x:c r="J8" s="25" t="n">
        <x:v>66</x:v>
      </x:c>
      <x:c r="K8" s="25" t="n">
        <x:f>J8*60/C8</x:f>
        <x:v>132</x:v>
      </x:c>
    </x:row>
    <x:row r="9" ht="150" customHeight="1">
      <x:c r="A9" s="16" t="str">
        <x:v>AR004</x:v>
      </x:c>
      <x:c r="B9" s="16" t="str">
        <x:v>Your first real practice route</x:v>
      </x:c>
      <x:c r="C9" s="21" t="n">
        <x:v>30</x:v>
      </x:c>
      <x:c r="D9" s="16" t="str">
        <x:v>Your first attempt starts right here. Open the practice link in AxomRank’s profile and follow this exact route. Choose the available set shown on screen. Read its instructions, attempt the first question, then open the explanation at the point the interface allows. Check the reasoning against your own working. You have a concrete first task before choosing a longer session. Open the profile link and start this set.</x:v>
      </x:c>
      <x:c r="E9" s="24" t="str">
        <x:v>00–03s
VISUAL: Finger points to real profile practice link.
SAY: Your first attempt starts right here.
TEXT: START HERE</x:v>
      </x:c>
      <x:c r="F9" s="16" t="str">
        <x:v>03–08s
VISUAL: Record the link opening on a phone.
SAY: Open the practice link in AxomRank’s profile and follow this exact route.
TEXT: Profile → practice</x:v>
      </x:c>
      <x:c r="G9" s="16" t="str">
        <x:v>08–18s
VISUAL: Follow actual set selection and first-question route.
SAY: Choose the available set shown on screen. Read its instructions, attempt the first question, then open the explanation at the point the interface allows.
TEXT: Read → attempt → check</x:v>
      </x:c>
      <x:c r="H9" s="16" t="str">
        <x:v>18–26s
VISUAL: Reveal real explanation with personal data removed.
SAY: Check the reasoning against your own working. You have a concrete first task before choosing a longer session.
TEXT: Compare your working</x:v>
      </x:c>
      <x:c r="I9" s="16" t="str">
        <x:v>26–30s
VISUAL: End on starting screen, set name visible.
SAY: Open the profile link and start this set.
TEXT: Start the shown set</x:v>
      </x:c>
      <x:c r="J9" s="26" t="n">
        <x:v>68</x:v>
      </x:c>
      <x:c r="K9" s="26" t="n">
        <x:f>J9*60/C9</x:f>
        <x:v>136</x:v>
      </x:c>
    </x:row>
    <x:row r="10" ht="150" customHeight="1">
      <x:c r="A10" s="15" t="str">
        <x:v>AR005</x:v>
      </x:c>
      <x:c r="B10" s="15" t="str">
        <x:v>The book opens after work</x:v>
      </x:c>
      <x:c r="C10" s="19" t="n">
        <x:v>30</x:v>
      </x:c>
      <x:c r="D10" s="15" t="str">
        <x:v>The chores ended. Your session starts now. You have twenty minutes tonight, so put one topic on the desk. Attempt three questions before opening any explanation. Mark the one that made you hesitate, even if you guessed correctly. Review that question, then leave tomorrow’s first question on the page. That gives the next session a starting point. Share this with your evening study partner.</x:v>
      </x:c>
      <x:c r="E10" s="23" t="str">
        <x:v>00–03s
VISUAL: Put a dish down; match-cut to opening a notebook.
SAY: The chores ended. Your session starts now.
TEXT: AFTER THE DAY</x:v>
      </x:c>
      <x:c r="F10" s="15" t="str">
        <x:v>03–08s
VISUAL: Show clock and a handwritten 20-minute plan.
SAY: You have twenty minutes tonight, so put one topic on the desk.
TEXT: 20 minutes tonight</x:v>
      </x:c>
      <x:c r="G10" s="15" t="str">
        <x:v>08–17s
VISUAL: Overhead shot of three original practice questions.
SAY: Attempt three questions before opening any explanation. Mark the one that made you hesitate, even if you guessed correctly.
TEXT: Attempt 3 questions</x:v>
      </x:c>
      <x:c r="H10" s="15" t="str">
        <x:v>17–26s
VISUAL: Circle one hesitation; set out tomorrow’s question.
SAY: Review that question, then leave tomorrow’s first question on the page. That gives the next session a starting point.
TEXT: Leave a starting point</x:v>
      </x:c>
      <x:c r="I10" s="15" t="str">
        <x:v>26–30s
VISUAL: Close notebook beside the ready pencil.
SAY: Share this with your evening study partner.
TEXT: Share with your partner</x:v>
      </x:c>
      <x:c r="J10" s="25" t="n">
        <x:v>64</x:v>
      </x:c>
      <x:c r="K10" s="25" t="n">
        <x:f>J10*60/C10</x:f>
        <x:v>128</x:v>
      </x:c>
    </x:row>
    <x:row r="11" ht="150" customHeight="1">
      <x:c r="A11" s="16" t="str">
        <x:v>AR006</x:v>
      </x:c>
      <x:c r="B11" s="16" t="str">
        <x:v>Percentage base clinic</x:v>
      </x:c>
      <x:c r="C11" s="21" t="n">
        <x:v>30</x:v>
      </x:c>
      <x:c r="D11" s="16" t="str">
        <x:v>Your second percentage uses a new base. Write one hundred, then increase it by twenty percent. The result is one hundred twenty. A twenty percent decrease now means twenty-four, because we divide twenty by one hundred and multiply by one hundred twenty. Subtract twenty-four to get ninety-six. Underline the base each time you write a percentage calculation. Save the method for your next attempt.</x:v>
      </x:c>
      <x:c r="E11" s="24" t="str">
        <x:v>00–03s
VISUAL: Circle wrong working “+20 −20=0”.
SAY: Your second percentage uses a new base.
TEXT: THE BASE MOVED</x:v>
      </x:c>
      <x:c r="F11" s="16" t="str">
        <x:v>03–07s
VISUAL: Write 100×1.2=120.
SAY: Write one hundred, then increase it by twenty percent.
TEXT: 100 becomes 120</x:v>
      </x:c>
      <x:c r="G11" s="16" t="str">
        <x:v>07–19s
VISUAL: Circle 120; show 120×0.2=24.
SAY: The result is one hundred twenty. A twenty percent decrease now means twenty-four, because we divide twenty by one hundred and multiply by one hundred twenty.
TEXT: 20% of 120 = 24</x:v>
      </x:c>
      <x:c r="H11" s="16" t="str">
        <x:v>19–26s
VISUAL: Write 120−24=96 and underline both bases.
SAY: Subtract twenty-four to get ninety-six. Underline the base each time you write a percentage calculation.
TEXT: Final = 96</x:v>
      </x:c>
      <x:c r="I11" s="16" t="str">
        <x:v>26–30s
VISUAL: Zoom out to corrected workings.
SAY: Save the method for your next attempt.
TEXT: Save the method</x:v>
      </x:c>
      <x:c r="J11" s="26" t="n">
        <x:v>64</x:v>
      </x:c>
      <x:c r="K11" s="26" t="n">
        <x:f>J11*60/C11</x:f>
        <x:v>128</x:v>
      </x:c>
    </x:row>
    <x:row r="12" ht="150" customHeight="1">
      <x:c r="A12" s="15" t="str">
        <x:v>AR007</x:v>
      </x:c>
      <x:c r="B12" s="15" t="str">
        <x:v>The silhouette you recognise</x:v>
      </x:c>
      <x:c r="C12" s="19" t="n">
        <x:v>30</x:v>
      </x:c>
      <x:c r="D12" s="15" t="str">
        <x:v>Name the town behind this silhouette. The outline belongs to Rang Ghar, the landmark in AxomRank’s identity. Choose between Sivasagar and Jorhat before the reveal. Rang Ghar is in Sivasagar, and it served as an Ahom-era pavilion for watching recreation and sports. Pair the image with the place and its purpose. That gives the familiar shape a useful revision connection. Comment the place you want us to cover.</x:v>
      </x:c>
      <x:c r="E12" s="23" t="str">
        <x:v>00–03s
VISUAL: Reveal Rang Ghar silhouette from behind a card.
SAY: Name the town behind this silhouette.
TEXT: NAME THE TOWN</x:v>
      </x:c>
      <x:c r="F12" s="15" t="str">
        <x:v>03–08s
VISUAL: Show supplied logo beside labelled landmark photo.
SAY: The outline belongs to Rang Ghar, the landmark in AxomRank’s identity.
TEXT: Rang Ghar</x:v>
      </x:c>
      <x:c r="G12" s="15" t="str">
        <x:v>08–18s
VISUAL: Display Sivasagar/Jorhat choices; pause two seconds.
SAY: Choose between Sivasagar and Jorhat before the reveal. Rang Ghar is in Sivasagar, and it served as an Ahom-era pavilion for watching recreation and sports.
TEXT: Sivasagar or Jorhat?</x:v>
      </x:c>
      <x:c r="H12" s="15" t="str">
        <x:v>18–26s
VISUAL: Reveal Sivasagar and pavilion-purpose card.
SAY: Pair the image with the place and its purpose. That gives the familiar shape a useful revision connection.
TEXT: Sivasagar • sports pavilion</x:v>
      </x:c>
      <x:c r="I12" s="15" t="str">
        <x:v>26–30s
VISUAL: Pull out an empty card for the next place.
SAY: Comment the place you want us to cover.
TEXT: Which place next?</x:v>
      </x:c>
      <x:c r="J12" s="25" t="n">
        <x:v>68</x:v>
      </x:c>
      <x:c r="K12" s="25" t="n">
        <x:f>J12*60/C12</x:f>
        <x:v>136</x:v>
      </x:c>
    </x:row>
    <x:row r="13" ht="150" customHeight="1">
      <x:c r="A13" s="16" t="str">
        <x:v>AR008</x:v>
      </x:c>
      <x:c r="B13" s="16" t="str">
        <x:v>Ratio shares need a total</x:v>
      </x:c>
      <x:c r="C13" s="21" t="n">
        <x:v>30</x:v>
      </x:c>
      <x:c r="D13" s="16" t="str">
        <x:v>Two to three. Divide fifty. This ratio describes five equal parts, because two plus three is five. Fifty divided by five gives ten per part. The smaller share takes two parts, so it receives twenty; the larger takes three, so it receives thirty. Check that twenty plus thirty returns fifty and that the shares still have the requested ratio. Save this five-box method.</x:v>
      </x:c>
      <x:c r="E13" s="24" t="str">
        <x:v>00–03s
VISUAL: Place 2:3 card above ₹50 practice total.
SAY: Two to three. Divide fifty.
TEXT: DIVIDE ₹50</x:v>
      </x:c>
      <x:c r="F13" s="16" t="str">
        <x:v>03–08s
VISUAL: Draw five equal boxes.
SAY: This ratio describes five equal parts, because two plus three is five.
TEXT: 2 + 3 = 5 parts</x:v>
      </x:c>
      <x:c r="G13" s="16" t="str">
        <x:v>08–19s
VISUAL: Write ₹10 inside each; bracket two versus three.
SAY: Fifty divided by five gives ten per part. The smaller share takes two parts, so it receives twenty; the larger takes three, so it receives thirty.
TEXT: ₹10 per part</x:v>
      </x:c>
      <x:c r="H13" s="16" t="str">
        <x:v>19–26s
VISUAL: Reveal ₹20 and ₹30, then sum-check.
SAY: Check that twenty plus thirty returns fifty and that the shares still have the requested ratio.
TEXT: ₹20 : ₹30</x:v>
      </x:c>
      <x:c r="I13" s="16" t="str">
        <x:v>26–30s
VISUAL: Replace values with blank boxes.
SAY: Save this five-box method.
TEXT: Save the box method</x:v>
      </x:c>
      <x:c r="J13" s="26" t="n">
        <x:v>63</x:v>
      </x:c>
      <x:c r="K13" s="26" t="n">
        <x:f>J13*60/C13</x:f>
        <x:v>126</x:v>
      </x:c>
    </x:row>
    <x:row r="14" ht="150" customHeight="1">
      <x:c r="A14" s="15" t="str">
        <x:v>AR009</x:v>
      </x:c>
      <x:c r="B14" s="15" t="str">
        <x:v>What the mock instructions say</x:v>
      </x:c>
      <x:c r="C14" s="19" t="n">
        <x:v>30</x:v>
      </x:c>
      <x:c r="D14" s="15" t="str">
        <x:v>Read this before starting the mock. The available mock has instructions that define the attempt shown here. Look for its question count, time limit, and scoring rules on the actual screen. Use those details to decide whether this session fits your available time. Then set aside that time and start the mock. Keep its review step in your session plan too. Start the shown mock through our profile link.</x:v>
      </x:c>
      <x:c r="E14" s="23" t="str">
        <x:v>00–03s
VISUAL: Hover finger above real Start button.
SAY: Read this before starting the mock.
TEXT: BEFORE YOU START</x:v>
      </x:c>
      <x:c r="F14" s="15" t="str">
        <x:v>03–08s
VISUAL: Reveal actual mock instruction screen.
SAY: The available mock has instructions that define the attempt shown here.
TEXT: Read the instructions</x:v>
      </x:c>
      <x:c r="G14" s="15" t="str">
        <x:v>08–19s
VISUAL: Highlight real count, duration, rules without altering them.
SAY: Look for its question count, time limit, and scoring rules on the actual screen. Use those details to decide whether this session fits your available time.
TEXT: Count • time • scoring</x:v>
      </x:c>
      <x:c r="H14" s="15" t="str">
        <x:v>19–26s
VISUAL: Creator sets a timer matching listed duration.
SAY: Then set aside that time and start the mock. Keep its review step in your session plan too.
TEXT: Allow review time</x:v>
      </x:c>
      <x:c r="I14" s="15" t="str">
        <x:v>26–30s
VISUAL: Finger taps Start on the demonstrated mock.
SAY: Start the shown mock through our profile link.
TEXT: Start this mock</x:v>
      </x:c>
      <x:c r="J14" s="25" t="n">
        <x:v>69</x:v>
      </x:c>
      <x:c r="K14" s="25" t="n">
        <x:f>J14*60/C14</x:f>
        <x:v>138</x:v>
      </x:c>
    </x:row>
    <x:row r="15" ht="150" customHeight="1">
      <x:c r="A15" s="16" t="str">
        <x:v>AR010</x:v>
      </x:c>
      <x:c r="B15" s="16" t="str">
        <x:v>A saved post meets a blank notebook</x:v>
      </x:c>
      <x:c r="C15" s="21" t="n">
        <x:v>30</x:v>
      </x:c>
      <x:c r="D15" s="16" t="str">
        <x:v>Saved again. Attempted yet? Your phone has the lesson, but this notebook still has no working. Open one saved question and put the phone face down. Write your answer and one reason before checking the explanation. Now the saved post has become something you attempted. Keep the method you missed beside your own working. Send this to your lesson-saving friend.</x:v>
      </x:c>
      <x:c r="E15" s="24" t="str">
        <x:v>00–03s
VISUAL: Swipe a staged saved-post folder; cut to blank paper.
SAY: Saved again. Attempted yet?
TEXT: SAVED AGAIN</x:v>
      </x:c>
      <x:c r="F15" s="16" t="str">
        <x:v>03–09s
VISUAL: Hold phone above empty notebook.
SAY: Your phone has the lesson, but this notebook still has no working.
TEXT: Where is your working?</x:v>
      </x:c>
      <x:c r="G15" s="16" t="str">
        <x:v>09–18s
VISUAL: Reveal one original question; turn phone down.
SAY: Open one saved question and put the phone face down. Write your answer and one reason before checking the explanation.
TEXT: Answer before checking</x:v>
      </x:c>
      <x:c r="H15" s="16" t="str">
        <x:v>18–26s
VISUAL: Show attempted answer beside corrected method.
SAY: Now the saved post has become something you attempted. Keep the method you missed beside your own working.
TEXT: One post attempted</x:v>
      </x:c>
      <x:c r="I15" s="16" t="str">
        <x:v>26–30s
VISUAL: Return to folder, with one item marked attempted.
SAY: Send this to your lesson-saving friend.
TEXT: Send to a friend</x:v>
      </x:c>
      <x:c r="J15" s="26" t="n">
        <x:v>60</x:v>
      </x:c>
      <x:c r="K15" s="26" t="n">
        <x:f>J15*60/C15</x:f>
        <x:v>120</x:v>
      </x:c>
    </x:row>
    <x:row r="16" ht="150" customHeight="1">
      <x:c r="A16" s="15" t="str">
        <x:v>AR011</x:v>
      </x:c>
      <x:c r="B16" s="15" t="str">
        <x:v>₹100 becomes ₹96</x:v>
      </x:c>
      <x:c r="C16" s="19" t="n">
        <x:v>30</x:v>
      </x:c>
      <x:c r="D16" s="15" t="str">
        <x:v>Up twenty. Down twenty. Still one hundred? Start with a price of one hundred rupees on this card. A twenty percent increase makes it one hundred twenty. The next twenty percent is taken from that new amount, so subtract twenty-four. The final price is ninety-six. The same percentage used two different bases, which changes the result. Comment your answer before the next replay.</x:v>
      </x:c>
      <x:c r="E16" s="23" t="str">
        <x:v>00–03s
VISUAL: Place ₹100 card between +20% and −20% cards.
SAY: Up twenty. Down twenty. Still one hundred?
TEXT: BACK TO 100?</x:v>
      </x:c>
      <x:c r="F16" s="15" t="str">
        <x:v>03–08s
VISUAL: Hold original price in close-up.
SAY: Start with a price of one hundred rupees on this card.
TEXT: Start ₹100</x:v>
      </x:c>
      <x:c r="G16" s="15" t="str">
        <x:v>08–18s
VISUAL: Slide ₹120 card in; remove ₹24 tokens.
SAY: A twenty percent increase makes it one hundred twenty. The next twenty percent is taken from that new amount, so subtract twenty-four.
TEXT: ₹100 → ₹120 → ₹96</x:v>
      </x:c>
      <x:c r="H16" s="15" t="str">
        <x:v>18–26s
VISUAL: Reveal ₹96 and circle the changed base.
SAY: The final price is ninety-six. The same percentage used two different bases, which changes the result.
TEXT: The base changed</x:v>
      </x:c>
      <x:c r="I16" s="15" t="str">
        <x:v>26–30s
VISUAL: Reset the original cards for a visual loop.
SAY: Comment your answer before the next replay.
TEXT: What did you predict?</x:v>
      </x:c>
      <x:c r="J16" s="25" t="n">
        <x:v>63</x:v>
      </x:c>
      <x:c r="K16" s="25" t="n">
        <x:f>J16*60/C16</x:f>
        <x:v>126</x:v>
      </x:c>
    </x:row>
    <x:row r="17" ht="150" customHeight="1">
      <x:c r="A17" s="16" t="str">
        <x:v>AR012</x:v>
      </x:c>
      <x:c r="B17" s="16" t="str">
        <x:v>Average means total over count</x:v>
      </x:c>
      <x:c r="C17" s="21" t="n">
        <x:v>30</x:v>
      </x:c>
      <x:c r="D17" s="16" t="str">
        <x:v>Three numbers. Count before dividing. For six, eight, and ten, begin by adding their values. Their total is twenty-four, and there are three numbers in the list. Divide twenty-four by three to get an average of eight. If another value joins the list, both the total and the count can change. Write the count beside your sum. Save this average-check method.</x:v>
      </x:c>
      <x:c r="E17" s="24" t="str">
        <x:v>00–03s
VISUAL: Place three numbered cards under a division sign.
SAY: Three numbers. Count before dividing.
TEXT: COUNT THE VALUES</x:v>
      </x:c>
      <x:c r="F17" s="16" t="str">
        <x:v>03–07s
VISUAL: Add 6+8+10=24.
SAY: For six, eight, and ten, begin by adding their values.
TEXT: 6 + 8 + 10 = 24</x:v>
      </x:c>
      <x:c r="G17" s="16" t="str">
        <x:v>07–17s
VISUAL: Move three tokens into the denominator; reveal 8.
SAY: Their total is twenty-four, and there are three numbers in the list. Divide twenty-four by three to get an average of eight.
TEXT: 24 ÷ 3 = 8</x:v>
      </x:c>
      <x:c r="H17" s="16" t="str">
        <x:v>17–26s
VISUAL: Add a fourth blank card to show count changes.
SAY: If another value joins the list, both the total and the count can change. Write the count beside your sum.
TEXT: New value, new count</x:v>
      </x:c>
      <x:c r="I17" s="16" t="str">
        <x:v>26–30s
VISUAL: Highlight total/count in the notebook.
SAY: Save this average-check method.
TEXT: Save the method</x:v>
      </x:c>
      <x:c r="J17" s="26" t="n">
        <x:v>61</x:v>
      </x:c>
      <x:c r="K17" s="26" t="n">
        <x:f>J17*60/C17</x:f>
        <x:v>122</x:v>
      </x:c>
    </x:row>
    <x:row r="18" ht="150" customHeight="1">
      <x:c r="A18" s="15" t="str">
        <x:v>AR013</x:v>
      </x:c>
      <x:c r="B18" s="15" t="str">
        <x:v>Your desk does not need a makeover</x:v>
      </x:c>
      <x:c r="C18" s="19" t="n">
        <x:v>30</x:v>
      </x:c>
      <x:c r="D18" s="15" t="str">
        <x:v>This desk is already ready. There is room for a notebook, a pencil, and today’s question. Move the extra books aside and put one practice task in the centre. Choose a session small enough to finish in this actual space. Before packing up, write the next question number on a slip. Leave it where you will see it. Tell us what stays on your study desk.</x:v>
      </x:c>
      <x:c r="E18" s="23" t="str">
        <x:v>00–03s
VISUAL: Push decorative desk items aside to reveal notebook.
SAY: This desk is already ready.
TEXT: READY ENOUGH</x:v>
      </x:c>
      <x:c r="F18" s="15" t="str">
        <x:v>03–08s
VISUAL: Show modest, real study corner.
SAY: There is room for a notebook, a pencil, and today’s question.
TEXT: One notebook</x:v>
      </x:c>
      <x:c r="G18" s="15" t="str">
        <x:v>08–18s
VISUAL: Place one original question centre frame.
SAY: Move the extra books aside and put one practice task in the centre. Choose a session small enough to finish in this actual space.
TEXT: One clear task</x:v>
      </x:c>
      <x:c r="H18" s="15" t="str">
        <x:v>18–26s
VISUAL: Write next question number; tuck slip into book.
SAY: Before packing up, write the next question number on a slip. Leave it where you will see it.
TEXT: Next question ready</x:v>
      </x:c>
      <x:c r="I18" s="15" t="str">
        <x:v>26–30s
VISUAL: Wide shot of the same unembellished desk.
SAY: Tell us what stays on your study desk.
TEXT: What is on your desk?</x:v>
      </x:c>
      <x:c r="J18" s="25" t="n">
        <x:v>66</x:v>
      </x:c>
      <x:c r="K18" s="25" t="n">
        <x:f>J18*60/C18</x:f>
        <x:v>132</x:v>
      </x:c>
    </x:row>
    <x:row r="19" ht="150" customHeight="1">
      <x:c r="A19" s="16" t="str">
        <x:v>AR014</x:v>
      </x:c>
      <x:c r="B19" s="16" t="str">
        <x:v>See an explanation before choosing</x:v>
      </x:c>
      <x:c r="C19" s="21" t="n">
        <x:v>30</x:v>
      </x:c>
      <x:c r="D19" s="16" t="str">
        <x:v>Look beyond the answer letter. This is an explanation from the current AxomRank practice experience. Attempt the displayed question first, then compare the reasoning with your own method. Look for the base, formula, or rule that made the answer work. That gives you something concrete to evaluate before committing to a longer practice session or an access plan. Open the linked sample and attempt it.</x:v>
      </x:c>
      <x:c r="E19" s="24" t="str">
        <x:v>00–03s
VISUAL: Zoom past real correct-option label to explanation.
SAY: Look beyond the answer letter.
TEXT: BEYOND THE LETTER</x:v>
      </x:c>
      <x:c r="F19" s="16" t="str">
        <x:v>03–07s
VISUAL: Show real question without answer first.
SAY: This is an explanation from the current AxomRank practice experience.
TEXT: Attempt first</x:v>
      </x:c>
      <x:c r="G19" s="16" t="str">
        <x:v>07–18s
VISUAL: Record explanation scroll; highlight one valid step.
SAY: Attempt the displayed question first, then compare the reasoning with your own method. Look for the base, formula, or rule that made the answer work.
TEXT: Check the reasoning</x:v>
      </x:c>
      <x:c r="H19" s="16" t="str">
        <x:v>18–26s
VISUAL: Place handwritten working beside phone.
SAY: That gives you something concrete to evaluate before committing to a longer practice session or an access plan.
TEXT: Evaluate a real sample</x:v>
      </x:c>
      <x:c r="I19" s="16" t="str">
        <x:v>26–30s
VISUAL: Return to verified sample entry point.
SAY: Open the linked sample and attempt it.
TEXT: Open the sample</x:v>
      </x:c>
      <x:c r="J19" s="26" t="n">
        <x:v>65</x:v>
      </x:c>
      <x:c r="K19" s="26" t="n">
        <x:f>J19*60/C19</x:f>
        <x:v>130</x:v>
      </x:c>
    </x:row>
    <x:row r="20" ht="150" customHeight="1">
      <x:c r="A20" s="15" t="str">
        <x:v>AR015</x:v>
      </x:c>
      <x:c r="B20" s="15" t="str">
        <x:v>Three cups and one change mistake</x:v>
      </x:c>
      <x:c r="C20" s="19" t="n">
        <x:v>30</x:v>
      </x:c>
      <x:c r="D20" s="15" t="str">
        <x:v>Three cups. Check your change. This practice bill says twenty rupees per cup, paid with one hundred. Three times twenty makes sixty. Subtract sixty from the hundred you handed over, and the change should be forty rupees. Before reaching for a calculator, name the two steps: total cost first, then money returned. Keep their order clear. Send this question to your tea companion.</x:v>
      </x:c>
      <x:c r="E20" s="23" t="str">
        <x:v>00–03s
VISUAL: Set down three cups and a mock ₹100 note.
SAY: Three cups. Check your change.
TEXT: CHECK THE CHANGE</x:v>
      </x:c>
      <x:c r="F20" s="15" t="str">
        <x:v>03–08s
VISUAL: Show fictional menu: ₹20 per cup.
SAY: This practice bill says twenty rupees per cup, paid with one hundred.
TEXT: 3 cups × ₹20</x:v>
      </x:c>
      <x:c r="G20" s="15" t="str">
        <x:v>08–17s
VISUAL: Write 3×20=60; move forty paper tokens back.
SAY: Three times twenty makes sixty. Subtract sixty from the hundred you handed over, and the change should be forty rupees.
TEXT: ₹100 − ₹60</x:v>
      </x:c>
      <x:c r="H20" s="15" t="str">
        <x:v>17–26s
VISUAL: Number the two calculation steps.
SAY: Before reaching for a calculator, name the two steps: total cost first, then money returned. Keep their order clear.
TEXT: Change = ₹40</x:v>
      </x:c>
      <x:c r="I20" s="15" t="str">
        <x:v>26–30s
VISUAL: Two hands point to the answer over tea.
SAY: Send this question to your tea companion.
TEXT: Send to your tea companion</x:v>
      </x:c>
      <x:c r="J20" s="25" t="n">
        <x:v>63</x:v>
      </x:c>
      <x:c r="K20" s="25" t="n">
        <x:f>J20*60/C20</x:f>
        <x:v>126</x:v>
      </x:c>
    </x:row>
    <x:row r="21" ht="150" customHeight="1">
      <x:c r="A21" s="16" t="str">
        <x:v>AR016</x:v>
      </x:c>
      <x:c r="B21" s="16" t="str">
        <x:v>A useful wrong-answer note</x:v>
      </x:c>
      <x:c r="C21" s="21" t="n">
        <x:v>30</x:v>
      </x:c>
      <x:c r="D21" s="16" t="str">
        <x:v>Write the step you missed. A note saying “bad at maths” gives tomorrow’s session very little direction. For this percentage error, write: I used the original price for the second change. Add the corrected base and one worked line beside it. Now your review tells you what to check on a similar question. Keep the note short enough to use again. Save this mistake-note example.</x:v>
      </x:c>
      <x:c r="E21" s="24" t="str">
        <x:v>00–03s
VISUAL: Cross out vague note “bad at maths”.
SAY: Write the step you missed.
TEXT: WRITE THE STEP</x:v>
      </x:c>
      <x:c r="F21" s="16" t="str">
        <x:v>03–08s
VISUAL: Show a blank review strip.
SAY: A note saying “bad at maths” gives tomorrow’s session very little direction.
TEXT: Avoid vague labels</x:v>
      </x:c>
      <x:c r="G21" s="16" t="str">
        <x:v>08–18s
VISUAL: Write error, correct base and calculation.
SAY: For this percentage error, write: I used the original price for the second change. Add the corrected base and one worked line beside it.
TEXT: Error → corrected step</x:v>
      </x:c>
      <x:c r="H21" s="16" t="str">
        <x:v>18–26s
VISUAL: Place a similar original question beneath note.
SAY: Now your review tells you what to check on a similar question. Keep the note short enough to use again.
TEXT: Use on another question</x:v>
      </x:c>
      <x:c r="I21" s="16" t="str">
        <x:v>26–30s
VISUAL: Fold strip into notebook as bookmark.
SAY: Save this mistake-note example.
TEXT: Save this review format</x:v>
      </x:c>
      <x:c r="J21" s="26" t="n">
        <x:v>65</x:v>
      </x:c>
      <x:c r="K21" s="26" t="n">
        <x:f>J21*60/C21</x:f>
        <x:v>130</x:v>
      </x:c>
    </x:row>
    <x:row r="22" ht="150" customHeight="1">
      <x:c r="A22" s="15" t="str">
        <x:v>AR017</x:v>
      </x:c>
      <x:c r="B22" s="15" t="str">
        <x:v>One seat on the bus</x:v>
      </x:c>
      <x:c r="C22" s="19" t="n">
        <x:v>30</x:v>
      </x:c>
      <x:c r="D22" s="15" t="str">
        <x:v>One bus ride. One question. Keep the task short enough to read comfortably while you are seated. Use this original sequence: two, four, eight, sixteen. What follows if each term doubles? Pause and choose before we reveal thirty-two. Write down the rule when you reach your stop. The useful part is explaining how you got there. Share this with your commuting study friend.</x:v>
      </x:c>
      <x:c r="E22" s="23" t="str">
        <x:v>00–03s
VISUAL: Seat-side close-up of phone displaying 2,4,8,16,?.
SAY: One bus ride. One question.
TEXT: ONE RIDE, ONE QUESTION</x:v>
      </x:c>
      <x:c r="F22" s="15" t="str">
        <x:v>03–08s
VISUAL: Show seated creator with small question card.
SAY: Keep the task short enough to read comfortably while you are seated.
TEXT: 2, 4, 8, 16, ?</x:v>
      </x:c>
      <x:c r="G22" s="15" t="str">
        <x:v>08–18s
VISUAL: Animate ×2 arrows; hold answer hidden briefly.
SAY: Use this original sequence: two, four, eight, sixteen. What follows if each term doubles? Pause and choose before we reveal thirty-two.
TEXT: Each term ×2</x:v>
      </x:c>
      <x:c r="H22" s="15" t="str">
        <x:v>18–26s
VISUAL: Reveal 32; creator notes the rule after getting off.
SAY: Write down the rule when you reach your stop. The useful part is explaining how you got there.
TEXT: Next = 32</x:v>
      </x:c>
      <x:c r="I22" s="15" t="str">
        <x:v>26–30s
VISUAL: Match-cut next bus-stop card to opening question.
SAY: Share this with your commuting study friend.
TEXT: Share with a commuter</x:v>
      </x:c>
      <x:c r="J22" s="25" t="n">
        <x:v>63</x:v>
      </x:c>
      <x:c r="K22" s="25" t="n">
        <x:f>J22*60/C22</x:f>
        <x:v>126</x:v>
      </x:c>
    </x:row>
    <x:row r="23" ht="150" customHeight="1">
      <x:c r="A23" s="16" t="str">
        <x:v>AR018</x:v>
      </x:c>
      <x:c r="B23" s="16" t="str">
        <x:v>Practice question or PYQ</x:v>
      </x:c>
      <x:c r="C23" s="21" t="n">
        <x:v>30</x:v>
      </x:c>
      <x:c r="D23" s="16" t="str">
        <x:v>A PYQ label needs a source. A newly written practice question can teach well without pretending to be past-paper material. For a genuine previous-year question, keep the examination name, year, paper, and answer source attached. For our own examples, write “original practice” clearly. That lets a learner understand what they are revising and where the answer comes from. Save this question-label checklist.</x:v>
      </x:c>
      <x:c r="E23" s="24" t="str">
        <x:v>00–03s
VISUAL: Put ORIGINAL PRACTICE and PYQ labels beside one card.
SAY: A PYQ label needs a source.
TEXT: CHECK THE LABEL</x:v>
      </x:c>
      <x:c r="F23" s="16" t="str">
        <x:v>03–09s
VISUAL: Move invented question under original practice.
SAY: A newly written practice question can teach well without pretending to be past-paper material.
TEXT: Original practice</x:v>
      </x:c>
      <x:c r="G23" s="16" t="str">
        <x:v>09–19s
VISUAL: Show blank source fields for a real PYQ.
SAY: For a genuine previous-year question, keep the examination name, year, paper, and answer source attached. For our own examples, write “original practice” clearly.
TEXT: Exam • year • paper • key</x:v>
      </x:c>
      <x:c r="H23" s="16" t="str">
        <x:v>19–26s
VISUAL: Tick only a fully sourced record.
SAY: That lets a learner understand what they are revising and where the answer comes from.
TEXT: Evidence stays attached</x:v>
      </x:c>
      <x:c r="I23" s="16" t="str">
        <x:v>26–30s
VISUAL: End with the two correctly separated labels.
SAY: Save this question-label checklist.
TEXT: Save the checklist</x:v>
      </x:c>
      <x:c r="J23" s="26" t="n">
        <x:v>62</x:v>
      </x:c>
      <x:c r="K23" s="26" t="n">
        <x:f>J23*60/C23</x:f>
        <x:v>124</x:v>
      </x:c>
    </x:row>
    <x:row r="24" ht="150" customHeight="1">
      <x:c r="A24" s="15" t="str">
        <x:v>AR019</x:v>
      </x:c>
      <x:c r="B24" s="15" t="str">
        <x:v>Find the topic you just missed</x:v>
      </x:c>
      <x:c r="C24" s="19" t="n">
        <x:v>30</x:v>
      </x:c>
      <x:c r="D24" s="15" t="str">
        <x:v>Take this mistake to topic practice. The percentage question showed that the second calculation used a new base. Open the currently available percentage set from the route shown here. Attempt its next question independently, then compare your working with the explanation. Keep the corrected base visible in your notebook. This gives the lesson you just watched a specific follow-up task. Open the linked percentage practice set.</x:v>
      </x:c>
      <x:c r="E24" s="23" t="str">
        <x:v>00–03s
VISUAL: Point from corrected base to real topic menu.
SAY: Take this mistake to topic practice.
TEXT: USE THE CORRECTED BASE</x:v>
      </x:c>
      <x:c r="F24" s="15" t="str">
        <x:v>03–08s
VISUAL: Show notebook’s “percentage base” note.
SAY: The percentage question showed that the second calculation used a new base.
TEXT: Missed topic: percentage</x:v>
      </x:c>
      <x:c r="G24" s="15" t="str">
        <x:v>08–18s
VISUAL: Record live percentage-set selection and question.
SAY: Open the currently available percentage set from the route shown here. Attempt its next question independently, then compare your working with the explanation.
TEXT: Open the shown set</x:v>
      </x:c>
      <x:c r="H24" s="15" t="str">
        <x:v>18–26s
VISUAL: Match-cut notebook working to real explanation.
SAY: Keep the corrected base visible in your notebook. This gives the lesson you just watched a specific follow-up task.
TEXT: Attempt independently</x:v>
      </x:c>
      <x:c r="I24" s="15" t="str">
        <x:v>26–30s
VISUAL: End on actual percentage-set destination.
SAY: Open the linked percentage practice set.
TEXT: Start topic practice</x:v>
      </x:c>
      <x:c r="J24" s="25" t="n">
        <x:v>66</x:v>
      </x:c>
      <x:c r="K24" s="25" t="n">
        <x:f>J24*60/C24</x:f>
        <x:v>132</x:v>
      </x:c>
    </x:row>
    <x:row r="25" ht="150" customHeight="1">
      <x:c r="A25" s="16" t="str">
        <x:v>AR020</x:v>
      </x:c>
      <x:c r="B25" s="16" t="str">
        <x:v>The friend asks a better question</x:v>
      </x:c>
      <x:c r="C25" s="21" t="n">
        <x:v>30</x:v>
      </x:c>
      <x:c r="D25" s="16" t="str">
        <x:v>Ask what they attempted today. Two friends can study the same chapter and still miss different steps. Give each person the same question and let them answer separately. Then compare the reason behind the answer, before showing the explanation. If you disagree, find the exact step where your working separates. Write that step down for your next session. Send this to your practice partner.</x:v>
      </x:c>
      <x:c r="E25" s="24" t="str">
        <x:v>00–03s
VISUAL: Two friends swap cards saying “What did you attempt?”
SAY: Ask what they attempted today.
TEXT: ASK ABOUT THE ATTEMPT</x:v>
      </x:c>
      <x:c r="F25" s="16" t="str">
        <x:v>03–08s
VISUAL: Show identical original question sheets.
SAY: Two friends can study the same chapter and still miss different steps.
TEXT: Same question</x:v>
      </x:c>
      <x:c r="G25" s="16" t="str">
        <x:v>08–18s
VISUAL: Split-screen separate attempts, without peeking.
SAY: Give each person the same question and let them answer separately. Then compare the reason behind the answer, before showing the explanation.
TEXT: Answer separately</x:v>
      </x:c>
      <x:c r="H25" s="16" t="str">
        <x:v>18–26s
VISUAL: Place both workings side by side; circle divergence.
SAY: If you disagree, find the exact step where your working separates. Write that step down for your next session.
TEXT: Compare the reasoning</x:v>
      </x:c>
      <x:c r="I25" s="16" t="str">
        <x:v>26–30s
VISUAL: Friends return to the same question together.
SAY: Send this to your practice partner.
TEXT: Send to your partner</x:v>
      </x:c>
      <x:c r="J25" s="26" t="n">
        <x:v>64</x:v>
      </x:c>
      <x:c r="K25" s="26" t="n">
        <x:f>J25*60/C25</x:f>
        <x:v>128</x:v>
      </x:c>
    </x:row>
    <x:row r="26" ht="150" customHeight="1">
      <x:c r="A26" s="15" t="str">
        <x:v>AR021</x:v>
      </x:c>
      <x:c r="B26" s="15" t="str">
        <x:v>Half the price twice</x:v>
      </x:c>
      <x:c r="C26" s="19" t="n">
        <x:v>30</x:v>
      </x:c>
      <x:c r="D26" s="15" t="str">
        <x:v>Half price twice. Is it free? This original example starts with a price of two hundred rupees. The first fifty percent discount removes one hundred, leaving one hundred. The second removes half of that remaining amount, which is fifty. So you pay fifty rupees, a total reduction of one hundred fifty. Each discount works on the current price. Share this before your next sale-scroll.</x:v>
      </x:c>
      <x:c r="E26" s="23" t="str">
        <x:v>00–03s
VISUAL: Stick two 50% OFF labels over a ₹200 card.
SAY: Half price twice. Is it free?
TEXT: TWO HALF-PRICE LABELS</x:v>
      </x:c>
      <x:c r="F26" s="15" t="str">
        <x:v>03–08s
VISUAL: Reveal question “Free or ₹50?”
SAY: This original example starts with a price of two hundred rupees.
TEXT: Start ₹200</x:v>
      </x:c>
      <x:c r="G26" s="15" t="str">
        <x:v>08–18s
VISUAL: Fold price strip to ₹100, then ₹50.
SAY: The first fifty percent discount removes one hundred, leaving one hundred. The second removes half of that remaining amount, which is fifty.
TEXT: ₹200 → ₹100 → ₹50</x:v>
      </x:c>
      <x:c r="H26" s="15" t="str">
        <x:v>18–26s
VISUAL: Show total reduction ₹150 out of ₹200.
SAY: So you pay fifty rupees, a total reduction of one hundred fifty. Each discount works on the current price.
TEXT: Total discount = 75%</x:v>
      </x:c>
      <x:c r="I26" s="15" t="str">
        <x:v>26–30s
VISUAL: Peel labels off, returning to the first frame.
SAY: Share this before your next sale-scroll.
TEXT: Share the price trap</x:v>
      </x:c>
      <x:c r="J26" s="25" t="n">
        <x:v>64</x:v>
      </x:c>
      <x:c r="K26" s="25" t="n">
        <x:f>J26*60/C26</x:f>
        <x:v>128</x:v>
      </x:c>
    </x:row>
    <x:row r="27" ht="150" customHeight="1">
      <x:c r="A27" s="16" t="str">
        <x:v>AR022</x:v>
      </x:c>
      <x:c r="B27" s="16" t="str">
        <x:v>Reading the word except</x:v>
      </x:c>
      <x:c r="C27" s="21" t="n">
        <x:v>30</x:v>
      </x:c>
      <x:c r="D27" s="16" t="str">
        <x:v>Circle the word except first. This original question asks which number is not even: two, four, five, or eight. An even number divides by two with no remainder. Two, four, and eight fit that rule, while five leaves a remainder. Because the question asks for the exception, choose five. Mark the instruction word before evaluating the options. Save this question-reading reminder.</x:v>
      </x:c>
      <x:c r="E27" s="24" t="str">
        <x:v>00–03s
VISUAL: Underline EXCEPT in large type.
SAY: Circle the word except first.
TEXT: CIRCLE EXCEPT</x:v>
      </x:c>
      <x:c r="F27" s="16" t="str">
        <x:v>03–09s
VISUAL: Display 2,4,5,8 options.
SAY: This original question asks which number is not even: two, four, five, or eight.
TEXT: Which is NOT even?</x:v>
      </x:c>
      <x:c r="G27" s="16" t="str">
        <x:v>09–18s
VISUAL: Show each divided by 2, with remainder for 5.
SAY: An even number divides by two with no remainder. Two, four, and eight fit that rule, while five leaves a remainder.
TEXT: 5 leaves remainder 1</x:v>
      </x:c>
      <x:c r="H27" s="16" t="str">
        <x:v>18–26s
VISUAL: Circle 5 alongside EXCEPT.
SAY: Because the question asks for the exception, choose five. Mark the instruction word before evaluating the options.
TEXT: Answer = 5</x:v>
      </x:c>
      <x:c r="I27" s="16" t="str">
        <x:v>26–30s
VISUAL: Reset highlight to instruction word.
SAY: Save this question-reading reminder.
TEXT: Save the reminder</x:v>
      </x:c>
      <x:c r="J27" s="26" t="n">
        <x:v>61</x:v>
      </x:c>
      <x:c r="K27" s="26" t="n">
        <x:f>J27*60/C27</x:f>
        <x:v>122</x:v>
      </x:c>
    </x:row>
    <x:row r="28" ht="150" customHeight="1">
      <x:c r="A28" s="15" t="str">
        <x:v>AR023</x:v>
      </x:c>
      <x:c r="B28" s="15" t="str">
        <x:v>Two language cards, one method</x:v>
      </x:c>
      <x:c r="C28" s="19" t="n">
        <x:v>30</x:v>
      </x:c>
      <x:c r="D28" s="15" t="str">
        <x:v>Same question. Choose your language. Place the English question beside a fully reviewed Assamese version. Both ask for fifteen percent of two hundred. Ten percent gives twenty, and five percent gives ten, so together they give thirty. The explanation should remain complete in either language. Keep the numbers and the reasoning aligned when you switch. Tell us your preferred explanation language.</x:v>
      </x:c>
      <x:c r="E28" s="23" t="str">
        <x:v>00–03s
VISUAL: Slide English and Assamese cards together.
SAY: Same question. Choose your language.
TEXT: SAME METHOD</x:v>
      </x:c>
      <x:c r="F28" s="15" t="str">
        <x:v>03–08s
VISUAL: Show identical options and quantities on each.
SAY: Place the English question beside a fully reviewed Assamese version.
TEXT: English • Assamese</x:v>
      </x:c>
      <x:c r="G28" s="15" t="str">
        <x:v>08–18s
VISUAL: Draw 10%=20 and 5%=10 below both.
SAY: Both ask for fifteen percent of two hundred. Ten percent gives twenty, and five percent gives ten, so together they give thirty.
TEXT: 10% + 5%</x:v>
      </x:c>
      <x:c r="H28" s="15" t="str">
        <x:v>18–26s
VISUAL: Highlight answer 30 on both cards.
SAY: The explanation should remain complete in either language. Keep the numbers and the reasoning aligned when you switch.
TEXT: Answer = 30</x:v>
      </x:c>
      <x:c r="I28" s="15" t="str">
        <x:v>26–30s
VISUAL: Point to an English/Assamese poll card.
SAY: Tell us your preferred explanation language.
TEXT: Which language?</x:v>
      </x:c>
      <x:c r="J28" s="25" t="n">
        <x:v>61</x:v>
      </x:c>
      <x:c r="K28" s="25" t="n">
        <x:f>J28*60/C28</x:f>
        <x:v>122</x:v>
      </x:c>
    </x:row>
    <x:row r="29" ht="150" customHeight="1">
      <x:c r="A29" s="16" t="str">
        <x:v>AR024</x:v>
      </x:c>
      <x:c r="B29" s="16" t="str">
        <x:v>A profile link that lands on a task</x:v>
      </x:c>
      <x:c r="C29" s="21" t="n">
        <x:v>30</x:v>
      </x:c>
      <x:c r="D29" s="16" t="str">
        <x:v>This link lands on a practice task. You should be able to see what you can attempt when it opens. Follow the route a visitor sees, from the AxomRank profile to the available practice page. Read the sign-in or access requirement shown. Choose the demonstrated task and keep its explanation for review. Follow the actual route on screen. Tap the practice link in our profile.</x:v>
      </x:c>
      <x:c r="E29" s="24" t="str">
        <x:v>00–03s
VISUAL: Tap real Instagram bio practice link.
SAY: This link lands on a practice task.
TEXT: WATCH THE ROUTE</x:v>
      </x:c>
      <x:c r="F29" s="16" t="str">
        <x:v>03–09s
VISUAL: Show uncut opening screen briefly.
SAY: You should be able to see what you can attempt when it opens.
TEXT: Open the profile link</x:v>
      </x:c>
      <x:c r="G29" s="16" t="str">
        <x:v>09–19s
VISUAL: Record actual access step and task selection.
SAY: Follow the route a visitor sees, from the AxomRank profile to the available practice page. Read the sign-in or access requirement shown.
TEXT: Follow actual access steps</x:v>
      </x:c>
      <x:c r="H29" s="16" t="str">
        <x:v>19–26s
VISUAL: Reveal first question and review destination.
SAY: Choose the demonstrated task and keep its explanation for review. Follow the actual route on screen.
TEXT: Choose the shown task</x:v>
      </x:c>
      <x:c r="I29" s="16" t="str">
        <x:v>26–30s
VISUAL: Freeze on profile link label.
SAY: Tap the practice link in our profile.
TEXT: Tap the practice link</x:v>
      </x:c>
      <x:c r="J29" s="26" t="n">
        <x:v>65</x:v>
      </x:c>
      <x:c r="K29" s="26" t="n">
        <x:f>J29*60/C29</x:f>
        <x:v>130</x:v>
      </x:c>
    </x:row>
    <x:row r="30" ht="150" customHeight="1">
      <x:c r="A30" s="15" t="str">
        <x:v>AR025</x:v>
      </x:c>
      <x:c r="B30" s="15" t="str">
        <x:v>The rhinoceros question</x:v>
      </x:c>
      <x:c r="C30" s="19" t="n">
        <x:v>30</x:v>
      </x:c>
      <x:c r="D30" s="15" t="str">
        <x:v>One horn. Name the park. Choose Kaziranga or Manas for the park famously associated with this rhinoceros. The answer is Kaziranga National Park. Use the animal and the park name as a memory pair, then cover the answer and test yourself. This question asks for the familiar association, not every place the species occurs. Keep the wording precise. Share this with your Assam GK partner.</x:v>
      </x:c>
      <x:c r="E30" s="23" t="str">
        <x:v>00–03s
VISUAL: Reveal licensed one-horned rhino image through a circle.
SAY: One horn. Name the park.
TEXT: NAME THE PARK</x:v>
      </x:c>
      <x:c r="F30" s="15" t="str">
        <x:v>03–08s
VISUAL: Show Kaziranga and Manas option cards.
SAY: Choose Kaziranga or Manas for the park famously associated with this rhinoceros.
TEXT: Kaziranga or Manas?</x:v>
      </x:c>
      <x:c r="G30" s="15" t="str">
        <x:v>08–19s
VISUAL: Turn over Kaziranga card; pair it with rhino.
SAY: The answer is Kaziranga National Park. Use the animal and the park name as a memory pair, then cover the answer and test yourself.
TEXT: Kaziranga National Park</x:v>
      </x:c>
      <x:c r="H30" s="15" t="str">
        <x:v>19–26s
VISUAL: Cover park label, leaving image as recall cue.
SAY: This question asks for the familiar association, not every place the species occurs. Keep the wording precise.
TEXT: Remember the wording</x:v>
      </x:c>
      <x:c r="I30" s="15" t="str">
        <x:v>26–30s
VISUAL: Slide the labelled pair back together.
SAY: Share this with your Assam GK partner.
TEXT: Share the GK question</x:v>
      </x:c>
      <x:c r="J30" s="25" t="n">
        <x:v>65</x:v>
      </x:c>
      <x:c r="K30" s="25" t="n">
        <x:f>J30*60/C30</x:f>
        <x:v>130</x:v>
      </x:c>
    </x:row>
    <x:row r="31" ht="150" customHeight="1">
      <x:c r="A31" s="16" t="str">
        <x:v>AR026</x:v>
      </x:c>
      <x:c r="B31" s="16" t="str">
        <x:v>One sentence explains your answer</x:v>
      </x:c>
      <x:c r="C31" s="21" t="n">
        <x:v>30</x:v>
      </x:c>
      <x:c r="D31" s="16" t="str">
        <x:v>Explain why you chose thirty-two. For two, four, eight, and sixteen, this question specifies a doubling rule. Write that each term is multiplied by two. Applying the same rule to sixteen gives thirty-two, and it matches every earlier transition shown. Naming the rule makes your choice checkable. If a question specifies a different rule, use that information instead. Try explaining your next answer aloud.</x:v>
      </x:c>
      <x:c r="E31" s="24" t="str">
        <x:v>00–03s
VISUAL: Show answer 32 with an empty reason box.
SAY: Explain why you chose thirty-two.
TEXT: WHERE IS THE REASON?</x:v>
      </x:c>
      <x:c r="F31" s="16" t="str">
        <x:v>03–08s
VISUAL: Display sequence and “each term doubles”.
SAY: For two, four, eight, and sixteen, this question specifies a doubling rule.
TEXT: Rule: each term doubles</x:v>
      </x:c>
      <x:c r="G31" s="16" t="str">
        <x:v>08–18s
VISUAL: Draw ×2 arrows between every term.
SAY: Write that each term is multiplied by two. Applying the same rule to sixteen gives thirty-two, and it matches every earlier transition shown.
TEXT: 16 × 2 = 32</x:v>
      </x:c>
      <x:c r="H31" s="16" t="str">
        <x:v>18–26s
VISUAL: Fill reason box with one sentence.
SAY: Naming the rule makes your choice checkable. If a question specifies a different rule, use that information instead.
TEXT: Check earlier transitions</x:v>
      </x:c>
      <x:c r="I31" s="16" t="str">
        <x:v>26–30s
VISUAL: Creator points to a new blank reason box.
SAY: Try explaining your next answer aloud.
TEXT: Explain the next answer</x:v>
      </x:c>
      <x:c r="J31" s="26" t="n">
        <x:v>64</x:v>
      </x:c>
      <x:c r="K31" s="26" t="n">
        <x:f>J31*60/C31</x:f>
        <x:v>128</x:v>
      </x:c>
    </x:row>
    <x:row r="32" ht="150" customHeight="1">
      <x:c r="A32" s="15" t="str">
        <x:v>AR027</x:v>
      </x:c>
      <x:c r="B32" s="15" t="str">
        <x:v>A page opened at midnight</x:v>
      </x:c>
      <x:c r="C32" s="19" t="n">
        <x:v>30</x:v>
      </x:c>
      <x:c r="D32" s="15" t="str">
        <x:v>The clock says late. Choose one task. You do not need to cram the entire chapter into tonight. Pick one question you already planned to attempt. Write the method, check the explanation, and mark anything you want to ask about tomorrow. Leave the unfinished chapter for a realistic next session. A smaller task gives this late start a clear ending. Send this to your late-starting study friend.</x:v>
      </x:c>
      <x:c r="E32" s="23" t="str">
        <x:v>00–03s
VISUAL: Clock close-up; cut to unopened notebook.
SAY: The clock says late. Choose one task.
TEXT: LATE START</x:v>
      </x:c>
      <x:c r="F32" s="15" t="str">
        <x:v>03–08s
VISUAL: Move a huge topic stack away.
SAY: You do not need to cram the entire chapter into tonight.
TEXT: One planned question</x:v>
      </x:c>
      <x:c r="G32" s="15" t="str">
        <x:v>08–18s
VISUAL: Place one question on desk and work it.
SAY: Pick one question you already planned to attempt. Write the method, check the explanation, and mark anything you want to ask about tomorrow.
TEXT: Attempt and review</x:v>
      </x:c>
      <x:c r="H32" s="15" t="str">
        <x:v>18–26s
VISUAL: Bookmark the question needing clarification; close book.
SAY: Leave the unfinished chapter for a realistic next session. A smaller task gives this late start a clear ending.
TEXT: Leave tomorrow a task</x:v>
      </x:c>
      <x:c r="I32" s="15" t="str">
        <x:v>26–30s
VISUAL: Leave a tomorrow card on top.
SAY: Send this to your late-starting study friend.
TEXT: Send to a friend</x:v>
      </x:c>
      <x:c r="J32" s="25" t="n">
        <x:v>67</x:v>
      </x:c>
      <x:c r="K32" s="25" t="n">
        <x:f>J32*60/C32</x:f>
        <x:v>134</x:v>
      </x:c>
    </x:row>
    <x:row r="33" ht="150" customHeight="1">
      <x:c r="A33" s="16" t="str">
        <x:v>AR028</x:v>
      </x:c>
      <x:c r="B33" s="16" t="str">
        <x:v>Check the source under the GK card</x:v>
      </x:c>
      <x:c r="C33" s="21" t="n">
        <x:v>30</x:v>
      </x:c>
      <x:c r="D33" s="16" t="str">
        <x:v>Where did this landmark fact come from? Use Rang Ghar as a worked example of an Assam GK card. The Sivasagar district page identifies the monument and describes its use for recreation and sports. Keep the monument, place, and purpose together with that source. Avoid adding a dramatic date or superlative you have not checked. A short sourced card can stay useful. Save this local-fact card format.</x:v>
      </x:c>
      <x:c r="E33" s="24" t="str">
        <x:v>00–03s
VISUAL: Lift a GK card to expose source line.
SAY: Where did this landmark fact come from?
TEXT: SHOW THE SOURCE</x:v>
      </x:c>
      <x:c r="F33" s="16" t="str">
        <x:v>03–08s
VISUAL: Show Rang Ghar/place/purpose fields.
SAY: Use Rang Ghar as a worked example of an Assam GK card.
TEXT: Rang Ghar • Sivasagar</x:v>
      </x:c>
      <x:c r="G33" s="16" t="str">
        <x:v>08–18s
VISUAL: Highlight relevant excerpt on district page.
SAY: The Sivasagar district page identifies the monument and describes its use for recreation and sports. Keep the monument, place, and purpose together with that source.
TEXT: Pavilion for recreation/sports</x:v>
      </x:c>
      <x:c r="H33" s="16" t="str">
        <x:v>18–26s
VISUAL: Cross out unsourced “oldest” annotation.
SAY: Avoid adding a dramatic date or superlative you have not checked. A short sourced card can stay useful.
TEXT: Keep claims precise</x:v>
      </x:c>
      <x:c r="I33" s="16" t="str">
        <x:v>26–30s
VISUAL: Show concise finished revision card.
SAY: Save this local-fact card format.
TEXT: Save the card format</x:v>
      </x:c>
      <x:c r="J33" s="26" t="n">
        <x:v>67</x:v>
      </x:c>
      <x:c r="K33" s="26" t="n">
        <x:f>J33*60/C33</x:f>
        <x:v>134</x:v>
      </x:c>
    </x:row>
    <x:row r="34" ht="150" customHeight="1">
      <x:c r="A34" s="15" t="str">
        <x:v>AR029</x:v>
      </x:c>
      <x:c r="B34" s="15" t="str">
        <x:v>Ask one specific access question</x:v>
      </x:c>
      <x:c r="C34" s="19" t="n">
        <x:v>30</x:v>
      </x:c>
      <x:c r="D34" s="15" t="str">
        <x:v>Ask what your access actually includes. Name the exam practice you need and the time you have. Ask which current option includes the mocks or explanations you want, how long access lasts, and the total price shown. Use the real support route on this screen. Keep the reply and compare it with the available plan information before deciding. Send your access question through the shown route.</x:v>
      </x:c>
      <x:c r="E34" s="23" t="str">
        <x:v>00–03s
VISUAL: Put “What is included?” card beside real support link.
SAY: Ask what your access actually includes.
TEXT: ASK BEFORE CHOOSING</x:v>
      </x:c>
      <x:c r="F34" s="15" t="str">
        <x:v>03–08s
VISUAL: Show a short example enquiry being drafted.
SAY: Name the exam practice you need and the time you have.
TEXT: Name your practice need</x:v>
      </x:c>
      <x:c r="G34" s="15" t="str">
        <x:v>08–20s
VISUAL: Highlight inclusions, duration and price questions.
SAY: Ask which current option includes the mocks or explanations you want, how long access lasts, and the total price shown. Use the real support route on this screen.
TEXT: Inclusions • duration • price</x:v>
      </x:c>
      <x:c r="H34" s="15" t="str">
        <x:v>20–26s
VISUAL: Show current plan information, no invented reply.
SAY: Keep the reply and compare it with the available plan information before deciding.
TEXT: Compare the details</x:v>
      </x:c>
      <x:c r="I34" s="15" t="str">
        <x:v>26–30s
VISUAL: End on verified support contact route.
SAY: Send your access question through the shown route.
TEXT: Send an access enquiry</x:v>
      </x:c>
      <x:c r="J34" s="25" t="n">
        <x:v>66</x:v>
      </x:c>
      <x:c r="K34" s="25" t="n">
        <x:f>J34*60/C34</x:f>
        <x:v>132</x:v>
      </x:c>
    </x:row>
    <x:row r="35" ht="150" customHeight="1">
      <x:c r="A35" s="16" t="str">
        <x:v>AR030</x:v>
      </x:c>
      <x:c r="B35" s="16" t="str">
        <x:v>The answer under the sticky note</x:v>
      </x:c>
      <x:c r="C35" s="21" t="n">
        <x:v>30</x:v>
      </x:c>
      <x:c r="D35" s="16" t="str">
        <x:v>Choose before I lift this note. What is the average of six, eight, and ten? Keep your answer in mind while the note stays down. Add the three numbers to get twenty-four, then divide by the three values. The average is eight. The middle number works here because the values are evenly spaced; the total-over-count method explains why. Comment the answer you chose first.</x:v>
      </x:c>
      <x:c r="E35" s="24" t="str">
        <x:v>00–03s
VISUAL: Peel a sticky-note corner over hidden answer.
SAY: Choose before I lift this note.
TEXT: CHOOSE BEFORE REVEAL</x:v>
      </x:c>
      <x:c r="F35" s="16" t="str">
        <x:v>03–07s
VISUAL: Write 6,8,10 above the note.
SAY: What is the average of six, eight, and ten?
TEXT: Average: 6, 8, 10</x:v>
      </x:c>
      <x:c r="G35" s="16" t="str">
        <x:v>07–17s
VISUAL: Hold three seconds; show 24÷3 working.
SAY: Keep your answer in mind while the note stays down. Add the three numbers to get twenty-four, then divide by the three values.
TEXT: 24 ÷ 3</x:v>
      </x:c>
      <x:c r="H35" s="16" t="str">
        <x:v>17–26s
VISUAL: Lift note to reveal 8.
SAY: The average is eight. The middle number works here because the values are evenly spaced; the total-over-count method explains why.
TEXT: Answer = 8</x:v>
      </x:c>
      <x:c r="I35" s="16" t="str">
        <x:v>26–30s
VISUAL: Replace note as the loop restarts.
SAY: Comment the answer you chose first.
TEXT: Your first answer?</x:v>
      </x:c>
      <x:c r="J35" s="26" t="n">
        <x:v>64</x:v>
      </x:c>
      <x:c r="K35" s="26" t="n">
        <x:f>J35*60/C35</x:f>
        <x:v>128</x:v>
      </x:c>
    </x:row>
    <x:row r="36" ht="150" customHeight="1">
      <x:c r="A36" s="15" t="str">
        <x:v>AR031</x:v>
      </x:c>
      <x:c r="B36" s="15" t="str">
        <x:v>The rain interrupted the plan</x:v>
      </x:c>
      <x:c r="C36" s="19" t="n">
        <x:v>30</x:v>
      </x:c>
      <x:c r="D36" s="15" t="str">
        <x:v>The rain changed tonight’s plan. You are indoors with the topic you meant to practise earlier. Choose one question from that topic and write an answer before checking. Use the quiet moment you actually have, rather than waiting for the perfect evening. Mark the step you want to revise and set a small task for the next session. Keep the plan flexible. Share this with your rainy-evening study friend.</x:v>
      </x:c>
      <x:c r="E36" s="23" t="str">
        <x:v>00–03s
VISUAL: Rain on window; focus pulls to open notebook.
SAY: The rain changed tonight’s plan.
TEXT: PLANS CHANGED</x:v>
      </x:c>
      <x:c r="F36" s="15" t="str">
        <x:v>03–07s
VISUAL: Show a crossed-out outdoor plan beside topic card.
SAY: You are indoors with the topic you meant to practise earlier.
TEXT: Use tonight’s window</x:v>
      </x:c>
      <x:c r="G36" s="15" t="str">
        <x:v>07–18s
VISUAL: Overhead shot of one original question attempt.
SAY: Choose one question from that topic and write an answer before checking. Use the quiet moment you actually have, rather than waiting for the perfect evening.
TEXT: Attempt one question</x:v>
      </x:c>
      <x:c r="H36" s="15" t="str">
        <x:v>18–26s
VISUAL: Bookmark one step; write tomorrow’s small task.
SAY: Mark the step you want to revise and set a small task for the next session. Keep the plan flexible.
TEXT: Set the next task</x:v>
      </x:c>
      <x:c r="I36" s="15" t="str">
        <x:v>26–30s
VISUAL: Return focus to rain and ready notebook.
SAY: Share this with your rainy-evening study friend.
TEXT: Share with a friend</x:v>
      </x:c>
      <x:c r="J36" s="25" t="n">
        <x:v>69</x:v>
      </x:c>
      <x:c r="K36" s="25" t="n">
        <x:f>J36*60/C36</x:f>
        <x:v>138</x:v>
      </x:c>
    </x:row>
    <x:row r="37" ht="150" customHeight="1">
      <x:c r="A37" s="16" t="str">
        <x:v>AR032</x:v>
      </x:c>
      <x:c r="B37" s="16" t="str">
        <x:v>Profit percentage denominator</x:v>
      </x:c>
      <x:c r="C37" s="21" t="n">
        <x:v>30</x:v>
      </x:c>
      <x:c r="D37" s="16" t="str">
        <x:v>Divide profit by cost price. An item bought for fifty and sold for sixty earns ten rupees profit. For profit percentage, divide ten by the fifty-rupee cost and multiply by one hundred. The result is twenty percent, with the cost labelled as the base. Dividing by the selling price measures profit as a share of sales instead. Keep the question’s requested quantity visible. Save this denominator example.</x:v>
      </x:c>
      <x:c r="E37" s="24" t="str">
        <x:v>00–03s
VISUAL: Circle denominator60 in wrong profit-percent working.
SAY: Divide profit by cost price.
TEXT: LABEL COST PRICE</x:v>
      </x:c>
      <x:c r="F37" s="16" t="str">
        <x:v>03–08s
VISUAL: Show cost50/sale60/profit10 cards.
SAY: An item bought for fifty and sold for sixty earns ten rupees profit.
TEXT: Profit = 60 − 50</x:v>
      </x:c>
      <x:c r="G37" s="16" t="str">
        <x:v>08–18s
VISUAL: Replace denominator with50; calculate20%.
SAY: For profit percentage, divide ten by the fifty-rupee cost and multiply by one hundred. The result is twenty percent, with the cost labelled as the base.
TEXT: 10 ÷ 50 × 100</x:v>
      </x:c>
      <x:c r="H37" s="16" t="str">
        <x:v>18–26s
VISUAL: Label alternate fraction as share of sales.
SAY: Dividing by the selling price measures profit as a share of sales instead. Keep the question’s requested quantity visible.
TEXT: Profit percentage = 20%</x:v>
      </x:c>
      <x:c r="I37" s="16" t="str">
        <x:v>26–30s
VISUAL: Highlight requested “profit percentage”.
SAY: Save this denominator example.
TEXT: Save the denominator check</x:v>
      </x:c>
      <x:c r="J37" s="26" t="n">
        <x:v>67</x:v>
      </x:c>
      <x:c r="K37" s="26" t="n">
        <x:f>J37*60/C37</x:f>
        <x:v>134</x:v>
      </x:c>
    </x:row>
    <x:row r="38" ht="150" customHeight="1">
      <x:c r="A38" s="15" t="str">
        <x:v>AR033</x:v>
      </x:c>
      <x:c r="B38" s="15" t="str">
        <x:v>Your town on a blank card</x:v>
      </x:c>
      <x:c r="C38" s="19" t="n">
        <x:v>30</x:v>
      </x:c>
      <x:c r="D38" s="15" t="str">
        <x:v>Your town belongs on this card. We have a blank location card waiting for the next Assam story. Suggest a place and one question you would like answered about it. We will check the detail before turning it into a practice question with a source. A familiar place can lead to a useful lesson when we keep its name and context accurate. Comment a place and your question.</x:v>
      </x:c>
      <x:c r="E38" s="23" t="str">
        <x:v>00–03s
VISUAL: Reveal an empty map-pin card beside AxomRank mark.
SAY: Your town belongs on this card.
TEXT: YOUR TOWN NEXT?</x:v>
      </x:c>
      <x:c r="F38" s="15" t="str">
        <x:v>03–08s
VISUAL: Show handwritten “next place” slot.
SAY: We have a blank location card waiting for the next Assam story.
TEXT: One place</x:v>
      </x:c>
      <x:c r="G38" s="15" t="str">
        <x:v>08–19s
VISUAL: Creator writes an example suggestion without inventing facts.
SAY: Suggest a place and one question you would like answered about it. We will check the detail before turning it into a practice question with a source.
TEXT: One question to check</x:v>
      </x:c>
      <x:c r="H38" s="15" t="str">
        <x:v>19–26s
VISUAL: Add source and question fields to the card.
SAY: A familiar place can lead to a useful lesson when we keep its name and context accurate.
TEXT: Source before lesson</x:v>
      </x:c>
      <x:c r="I38" s="15" t="str">
        <x:v>26–30s
VISUAL: Hold the blank place-name slot towards camera.
SAY: Comment a place and your question.
TEXT: Comment your suggestion</x:v>
      </x:c>
      <x:c r="J38" s="25" t="n">
        <x:v>68</x:v>
      </x:c>
      <x:c r="K38" s="25" t="n">
        <x:f>J38*60/C38</x:f>
        <x:v>136</x:v>
      </x:c>
    </x:row>
    <x:row r="39" ht="150" customHeight="1">
      <x:c r="A39" s="16" t="str">
        <x:v>AR034</x:v>
      </x:c>
      <x:c r="B39" s="16" t="str">
        <x:v>A mock followed by review</x:v>
      </x:c>
      <x:c r="C39" s="21" t="n">
        <x:v>30</x:v>
      </x:c>
      <x:c r="D39" s="16" t="str">
        <x:v>Leave time after the last answer. We are showing a real available mock and its actual review route. Read its instructions, complete the attempt, then open the review at the point allowed by the interface. Select one question whose reasoning you want to understand. Compare the explanation with your working and choose a topic. The screen shows the review route. Start this mock through the profile link.</x:v>
      </x:c>
      <x:c r="E39" s="24" t="str">
        <x:v>00–03s
VISUAL: Finger moves beyond actual last-question screen towards review.
SAY: Leave time after the last answer.
TEXT: AFTER THE LAST ANSWER</x:v>
      </x:c>
      <x:c r="F39" s="16" t="str">
        <x:v>03–08s
VISUAL: Show real instructions and mock entry.
SAY: We are showing a real available mock and its actual review route.
TEXT: Read actual instructions</x:v>
      </x:c>
      <x:c r="G39" s="16" t="str">
        <x:v>08–19s
VISUAL: Record genuine completed creator attempt and review route.
SAY: Read its instructions, complete the attempt, then open the review at the point allowed by the interface. Select one question whose reasoning you want to understand.
TEXT: Attempt → review</x:v>
      </x:c>
      <x:c r="H39" s="16" t="str">
        <x:v>19–26s
VISUAL: Open one real explanation beside creator working.
SAY: Compare the explanation with your working and choose a topic. The screen shows the review route.
TEXT: Pick a follow-up topic</x:v>
      </x:c>
      <x:c r="I39" s="16" t="str">
        <x:v>26–30s
VISUAL: Return to live mock start destination.
SAY: Start this mock through the profile link.
TEXT: Start the shown mock</x:v>
      </x:c>
      <x:c r="J39" s="26" t="n">
        <x:v>67</x:v>
      </x:c>
      <x:c r="K39" s="26" t="n">
        <x:f>J39*60/C39</x:f>
        <x:v>134</x:v>
      </x:c>
    </x:row>
    <x:row r="40" ht="150" customHeight="1">
      <x:c r="A40" s="15" t="str">
        <x:v>AR035</x:v>
      </x:c>
      <x:c r="B40" s="15" t="str">
        <x:v>The average hides a new student</x:v>
      </x:c>
      <x:c r="C40" s="19" t="n">
        <x:v>30</x:v>
      </x:c>
      <x:c r="D40" s="15" t="str">
        <x:v>Someone joined. The average changed. Two practice scores are ten and twenty, making their average fifteen. Add a third score of thirty. The total becomes sixty, and there are now three scores. Sixty divided by three gives twenty. The new average uses every value, not just the old average and the new score. Keep the original count visible. Comment your answer before the reveal.</x:v>
      </x:c>
      <x:c r="E40" s="23" t="str">
        <x:v>00–03s
VISUAL: Slide a third paper person into a two-person score chart.
SAY: Someone joined. The average changed.
TEXT: SOMEONE JOINED</x:v>
      </x:c>
      <x:c r="F40" s="15" t="str">
        <x:v>03–08s
VISUAL: Show 10 and 20 with average 15.
SAY: Two practice scores are ten and twenty, making their average fifteen.
TEXT: 10 and 20 → 15</x:v>
      </x:c>
      <x:c r="G40" s="15" t="str">
        <x:v>08–17s
VISUAL: Add 30; count three cards and total 60.
SAY: Add a third score of thirty. The total becomes sixty, and there are now three scores. Sixty divided by three gives twenty.
TEXT: Add 30: total 60</x:v>
      </x:c>
      <x:c r="H40" s="15" t="str">
        <x:v>17–26s
VISUAL: Cross out (15+30)/2; show 60/3.
SAY: The new average uses every value, not just the old average and the new score. Keep the original count visible.
TEXT: 60 ÷ 3 = 20</x:v>
      </x:c>
      <x:c r="I40" s="15" t="str">
        <x:v>26–30s
VISUAL: Third figure slides out for the loop.
SAY: Comment your answer before the reveal.
TEXT: What did you choose?</x:v>
      </x:c>
      <x:c r="J40" s="25" t="n">
        <x:v>64</x:v>
      </x:c>
      <x:c r="K40" s="25" t="n">
        <x:f>J40*60/C40</x:f>
        <x:v>128</x:v>
      </x:c>
    </x:row>
    <x:row r="41" ht="150" customHeight="1">
      <x:c r="A41" s="16" t="str">
        <x:v>AR036</x:v>
      </x:c>
      <x:c r="B41" s="16" t="str">
        <x:v>Fractions become equal boxes</x:v>
      </x:c>
      <x:c r="C41" s="21" t="n">
        <x:v>30</x:v>
      </x:c>
      <x:c r="D41" s="16" t="str">
        <x:v>One quarter means one equal part. Draw four equal boxes under the total of eighty. Share eighty equally across them: each box gets twenty. One quarter takes one box; three quarters take three boxes, so their value is sixty. Check that the quarter and the remaining three quarters add back to eighty. The picture keeps the whole visible. Save this fraction-to-box method.</x:v>
      </x:c>
      <x:c r="E41" s="24" t="str">
        <x:v>00–03s
VISUAL: Draw four boxes; shade only one.
SAY: One quarter means one equal part.
TEXT: ONE EQUAL PART</x:v>
      </x:c>
      <x:c r="F41" s="16" t="str">
        <x:v>03–07s
VISUAL: Put total80 above boxes.
SAY: Draw four equal boxes under the total of eighty.
TEXT: Whole = 80</x:v>
      </x:c>
      <x:c r="G41" s="16" t="str">
        <x:v>07–18s
VISUAL: Write20 in each; bracket three as60.
SAY: Share eighty equally across them: each box gets twenty. One quarter takes one box; three quarters take three boxes, so their value is sixty.
TEXT: ¼ = 20 • ¾ = 60</x:v>
      </x:c>
      <x:c r="H41" s="16" t="str">
        <x:v>18–26s
VISUAL: Show20+60=80 below strip.
SAY: Check that the quarter and the remaining three quarters add back to eighty. The picture keeps the whole visible.
TEXT: 20 + 60 = 80</x:v>
      </x:c>
      <x:c r="I41" s="16" t="str">
        <x:v>26–30s
VISUAL: Erase values but retain shaded quarter.
SAY: Save this fraction-to-box method.
TEXT: Save the box method</x:v>
      </x:c>
      <x:c r="J41" s="26" t="n">
        <x:v>62</x:v>
      </x:c>
      <x:c r="K41" s="26" t="n">
        <x:f>J41*60/C41</x:f>
        <x:v>124</x:v>
      </x:c>
    </x:row>
    <x:row r="42" ht="150" customHeight="1">
      <x:c r="A42" s="15" t="str">
        <x:v>AR037</x:v>
      </x:c>
      <x:c r="B42" s="15" t="str">
        <x:v>The study-corner invitation</x:v>
      </x:c>
      <x:c r="C42" s="19" t="n">
        <x:v>30</x:v>
      </x:c>
      <x:c r="D42" s="15" t="str">
        <x:v>Show one habit from this corner. Here is my notebook, and the slip that tells me where to restart. I write the next task before putting the book away. You can share your own corner with one habit that helps you begin a session. Keep faces, addresses, and personal papers out of the photo. We will ask before featuring anything identifiable from a submission. Comment the habit you would share.</x:v>
      </x:c>
      <x:c r="E42" s="23" t="str">
        <x:v>00–03s
VISUAL: Creator points to a real restart slip on desk.
SAY: Show one habit from this corner.
TEXT: ONE CORNER, ONE HABIT</x:v>
      </x:c>
      <x:c r="F42" s="15" t="str">
        <x:v>03–08s
VISUAL: Close-up of the slip and notebook.
SAY: Here is my notebook, and the slip that tells me where to restart.
TEXT: My restart slip</x:v>
      </x:c>
      <x:c r="G42" s="15" t="str">
        <x:v>08–18s
VISUAL: Show an empty submission frame with habit caption.
SAY: I write the next task before putting the book away. You can share your own corner with one habit that helps you begin a session.
TEXT: What helps you begin?</x:v>
      </x:c>
      <x:c r="H42" s="15" t="str">
        <x:v>18–26s
VISUAL: Turn over personal documents; frame only the desk.
SAY: Keep faces, addresses, and personal papers out of the photo. We will ask before featuring anything identifiable from a submission.
TEXT: Keep personal details out</x:v>
      </x:c>
      <x:c r="I42" s="15" t="str">
        <x:v>26–30s
VISUAL: End on one-line habit question.
SAY: Comment the habit you would share.
TEXT: Comment your habit</x:v>
      </x:c>
      <x:c r="J42" s="25" t="n">
        <x:v>70</x:v>
      </x:c>
      <x:c r="K42" s="25" t="n">
        <x:f>J42*60/C42</x:f>
        <x:v>140</x:v>
      </x:c>
    </x:row>
    <x:row r="43" ht="150" customHeight="1">
      <x:c r="A43" s="16" t="str">
        <x:v>AR038</x:v>
      </x:c>
      <x:c r="B43" s="16" t="str">
        <x:v>Adding a new score correctly</x:v>
      </x:c>
      <x:c r="C43" s="21" t="n">
        <x:v>30</x:v>
      </x:c>
      <x:c r="D43" s="16" t="str">
        <x:v>The old average needs its count. Two scores average fifteen, so their combined total is thirty. When a new score of thirty joins, the new total is sixty and the new count is three. Divide sixty by three to get twenty. Averaging fifteen and thirty directly would give equal weight to two unequal-sized groups. Recover the original total before updating. Save this new-member average method.</x:v>
      </x:c>
      <x:c r="E43" s="24" t="str">
        <x:v>00–03s
VISUAL: Put average15 beside “2 scores” label.
SAY: The old average needs its count.
TEXT: KEEP THE COUNT</x:v>
      </x:c>
      <x:c r="F43" s="16" t="str">
        <x:v>03–07s
VISUAL: Multiply15×2=30.
SAY: Two scores average fifteen, so their combined total is thirty.
TEXT: 15 × 2 = 30</x:v>
      </x:c>
      <x:c r="G43" s="16" t="str">
        <x:v>07–18s
VISUAL: Add new30; divide60 by3.
SAY: When a new score of thirty joins, the new total is sixty and the new count is three. Divide sixty by three to get twenty.
TEXT: New total 60 ÷ 3</x:v>
      </x:c>
      <x:c r="H43" s="16" t="str">
        <x:v>18–26s
VISUAL: Cross out(15+30)/2; show group sizes2and1.
SAY: Averaging fifteen and thirty directly would give equal weight to two unequal-sized groups. Recover the original total before updating.
TEXT: New average = 20</x:v>
      </x:c>
      <x:c r="I43" s="16" t="str">
        <x:v>26–30s
VISUAL: Circle total and count fields.
SAY: Save this new-member average method.
TEXT: Save the update method</x:v>
      </x:c>
      <x:c r="J43" s="26" t="n">
        <x:v>65</x:v>
      </x:c>
      <x:c r="K43" s="26" t="n">
        <x:f>J43*60/C43</x:f>
        <x:v>130</x:v>
      </x:c>
    </x:row>
    <x:row r="44" ht="150" customHeight="1">
      <x:c r="A44" s="15" t="str">
        <x:v>AR039</x:v>
      </x:c>
      <x:c r="B44" s="15" t="str">
        <x:v>Compare plans by your next task</x:v>
      </x:c>
      <x:c r="C44" s="19" t="n">
        <x:v>30</x:v>
      </x:c>
      <x:c r="D44" s="15" t="str">
        <x:v>Put your task beside the plan. Name the mock or topic set you need before comparing plans. Read the current plan page for included practice, access duration, total price, and any renewal terms shown. Compare those details with the sessions you intend to complete. Choose an available option after reading its conditions. The screen contains the current offer. View current plans through the shown link.</x:v>
      </x:c>
      <x:c r="E44" s="23" t="str">
        <x:v>00–03s
VISUAL: Place handwritten practice need beside real plan page.
SAY: Put your task beside the plan.
TEXT: TASK BESIDE PLAN</x:v>
      </x:c>
      <x:c r="F44" s="15" t="str">
        <x:v>03–08s
VISUAL: Highlight requested mock or set name.
SAY: Name the mock or topic set you need before comparing plans.
TEXT: What do you need?</x:v>
      </x:c>
      <x:c r="G44" s="15" t="str">
        <x:v>08–20s
VISUAL: Scroll actual inclusions, duration, price and renewal terms.
SAY: Read the current plan page for included practice, access duration, total price, and any renewal terms shown. Compare those details with the sessions you intend to complete.
TEXT: Inclusions • duration • price</x:v>
      </x:c>
      <x:c r="H44" s="15" t="str">
        <x:v>20–26s
VISUAL: Point to matching available option without inventing discount.
SAY: Choose an available option after reading its conditions. The screen contains the current offer.
TEXT: Read current terms</x:v>
      </x:c>
      <x:c r="I44" s="15" t="str">
        <x:v>26–30s
VISUAL: End on live plan-page link.
SAY: View current plans through the shown link.
TEXT: View available plans</x:v>
      </x:c>
      <x:c r="J44" s="25" t="n">
        <x:v>65</x:v>
      </x:c>
      <x:c r="K44" s="25" t="n">
        <x:f>J44*60/C44</x:f>
        <x:v>130</x:v>
      </x:c>
    </x:row>
    <x:row r="45" ht="150" customHeight="1">
      <x:c r="A45" s="16" t="str">
        <x:v>AR040</x:v>
      </x:c>
      <x:c r="B45" s="16" t="str">
        <x:v>Paper boat, river question</x:v>
      </x:c>
      <x:c r="C45" s="21" t="n">
        <x:v>30</x:v>
      </x:c>
      <x:c r="D45" s="16" t="str">
        <x:v>Which river holds Majuli? Use this paper island as a cue before looking at the answer. Majuli is a river island in the Brahmaputra. Write the island and the river as a pair, then cover the river name and try recalling it. Keep the geographical connection clear instead of adding an unchecked size record. The place itself gives us enough for one useful question. Share this with your geography partner.</x:v>
      </x:c>
      <x:c r="E45" s="24" t="str">
        <x:v>00–03s
VISUAL: Float paper island labelled Majuli in blue tray.
SAY: Which river holds Majuli?
TEXT: NAME THE RIVER</x:v>
      </x:c>
      <x:c r="F45" s="16" t="str">
        <x:v>03–08s
VISUAL: Display hidden river-name card.
SAY: Use this paper island as a cue before looking at the answer.
TEXT: Majuli</x:v>
      </x:c>
      <x:c r="G45" s="16" t="str">
        <x:v>08–18s
VISUAL: Reveal Brahmaputra and connect the names.
SAY: Majuli is a river island in the Brahmaputra. Write the island and the river as a pair, then cover the river name and try recalling it.
TEXT: Brahmaputra</x:v>
      </x:c>
      <x:c r="H45" s="16" t="str">
        <x:v>18–26s
VISUAL: Cover river label; retain island outline.
SAY: Keep the geographical connection clear instead of adding an unchecked size record. The place itself gives us enough for one useful question.
TEXT: Cover and recall</x:v>
      </x:c>
      <x:c r="I45" s="16" t="str">
        <x:v>26–30s
VISUAL: Paper boat passes the original island frame.
SAY: Share this with your geography partner.
TEXT: Share the geography question</x:v>
      </x:c>
      <x:c r="J45" s="26" t="n">
        <x:v>70</x:v>
      </x:c>
      <x:c r="K45" s="26" t="n">
        <x:f>J45*60/C45</x:f>
        <x:v>140</x:v>
      </x:c>
    </x:row>
    <x:row r="46" ht="150" customHeight="1">
      <x:c r="A46" s="15" t="str">
        <x:v>AR041</x:v>
      </x:c>
      <x:c r="B46" s="15" t="str">
        <x:v>The blank answer option</x:v>
      </x:c>
      <x:c r="C46" s="19" t="n">
        <x:v>30</x:v>
      </x:c>
      <x:c r="D46" s="15" t="str">
        <x:v>One answer option is missing. This original question asks for a quarter of eighty. Before I fill the blank, divide eighty into four equal shares. Each share contains twenty, so twenty belongs in the missing option. Now check the wording: a quarter means one of four equal parts. Keep that meaning beside the answer when you revise. Comment the number you wrote first.</x:v>
      </x:c>
      <x:c r="E46" s="23" t="str">
        <x:v>00–03s
VISUAL: Rub out one multiple-choice option with an eraser.
SAY: One answer option is missing.
TEXT: FILL THE OPTION</x:v>
      </x:c>
      <x:c r="F46" s="15" t="str">
        <x:v>03–07s
VISUAL: Show 1/4 of 80=? and a blank choice.
SAY: This original question asks for a quarter of eighty.
TEXT: ¼ of 80</x:v>
      </x:c>
      <x:c r="G46" s="15" t="str">
        <x:v>07–17s
VISUAL: Divide eighty-token graphic into four groups.
SAY: Before I fill the blank, divide eighty into four equal shares. Each share contains twenty, so twenty belongs in the missing option.
TEXT: 80 ÷ 4</x:v>
      </x:c>
      <x:c r="H46" s="15" t="str">
        <x:v>17–26s
VISUAL: Write 20 in erased slot and label one group.
SAY: Now check the wording: a quarter means one of four equal parts. Keep that meaning beside the answer when you revise.
TEXT: Answer = 20</x:v>
      </x:c>
      <x:c r="I46" s="15" t="str">
        <x:v>26–30s
VISUAL: Erase the answer again to restart.
SAY: Comment the number you wrote first.
TEXT: Your first number?</x:v>
      </x:c>
      <x:c r="J46" s="25" t="n">
        <x:v>63</x:v>
      </x:c>
      <x:c r="K46" s="25" t="n">
        <x:f>J46*60/C46</x:f>
        <x:v>126</x:v>
      </x:c>
    </x:row>
    <x:row r="47" ht="150" customHeight="1">
      <x:c r="A47" s="16" t="str">
        <x:v>AR042</x:v>
      </x:c>
      <x:c r="B47" s="16" t="str">
        <x:v>The unit conversion margin</x:v>
      </x:c>
      <x:c r="C47" s="21" t="n">
        <x:v>30</x:v>
      </x:c>
      <x:c r="D47" s="16" t="str">
        <x:v>These lengths use different units. This original question subtracts fifty centimetres from one metre. Convert one metre into one hundred centimetres first. Subtract fifty centimetres, leaving fifty centimetres, which is half a metre. Keep the units beside each number. Subtracting fifty directly from one would mix two scales. Put both measurements in the same unit before doing the arithmetic. Save this unit-check reminder.</x:v>
      </x:c>
      <x:c r="E47" s="24" t="str">
        <x:v>00–03s
VISUAL: Place1m ruler strip beside50cm strip.
SAY: These lengths use different units.
TEXT: CHECK THE UNITS</x:v>
      </x:c>
      <x:c r="F47" s="16" t="str">
        <x:v>03–07s
VISUAL: Show subtraction with unlike units.
SAY: This original question subtracts fifty centimetres from one metre.
TEXT: 1 m − 50 cm</x:v>
      </x:c>
      <x:c r="G47" s="16" t="str">
        <x:v>07–18s
VISUAL: Relabel1m as100cm; remove50cm.
SAY: Convert one metre into one hundred centimetres first. Subtract fifty centimetres, leaving fifty centimetres, which is half a metre. Keep the units beside each number.
TEXT: 100 cm − 50 cm</x:v>
      </x:c>
      <x:c r="H47" s="16" t="str">
        <x:v>18–26s
VISUAL: Reveal50cm=0.5m; highlight unit labels.
SAY: Subtracting fifty directly from one would mix two scales. Put both measurements in the same unit before doing the arithmetic.
TEXT: 50 cm = 0.5 m</x:v>
      </x:c>
      <x:c r="I47" s="16" t="str">
        <x:v>26–30s
VISUAL: Reset two differently labelled strips.
SAY: Save this unit-check reminder.
TEXT: Save the unit check</x:v>
      </x:c>
      <x:c r="J47" s="26" t="n">
        <x:v>63</x:v>
      </x:c>
      <x:c r="K47" s="26" t="n">
        <x:f>J47*60/C47</x:f>
        <x:v>126</x:v>
      </x:c>
    </x:row>
    <x:row r="48" ht="150" customHeight="1">
      <x:c r="A48" s="15" t="str">
        <x:v>AR043</x:v>
      </x:c>
      <x:c r="B48" s="15" t="str">
        <x:v>The family room gets noisy</x:v>
      </x:c>
      <x:c r="C48" s="19" t="n">
        <x:v>30</x:v>
      </x:c>
      <x:c r="D48" s="15" t="str">
        <x:v>The room got noisy again. You share the space, and the original plan no longer fits. Put one short question on a page you can return to. Attempt what you can now, and mark the exact line to resume when the room settles. Choose another window for the longer task. Your bookmark keeps this attempt ready to resume. Share this with a shared-room student.</x:v>
      </x:c>
      <x:c r="E48" s="23" t="str">
        <x:v>00–03s
VISUAL: Notebook shot interrupted by ordinary off-camera conversation.
SAY: The room got noisy again.
TEXT: INTERRUPTED AGAIN</x:v>
      </x:c>
      <x:c r="F48" s="15" t="str">
        <x:v>03–08s
VISUAL: Creator moves long plan aside.
SAY: You share the space, and the original plan no longer fits.
TEXT: Shared room</x:v>
      </x:c>
      <x:c r="G48" s="15" t="str">
        <x:v>08–20s
VISUAL: Attempt one short question; place bookmark at exact line.
SAY: Put one short question on a page you can return to. Attempt what you can now, and mark the exact line to resume when the room settles.
TEXT: Mark the restart line</x:v>
      </x:c>
      <x:c r="H48" s="15" t="str">
        <x:v>20–26s
VISUAL: Write a later study window on a slip.
SAY: Choose another window for the longer task. Your bookmark keeps this attempt ready to resume.
TEXT: Move the longer task</x:v>
      </x:c>
      <x:c r="I48" s="15" t="str">
        <x:v>26–30s
VISUAL: Close on bookmark protruding from notebook.
SAY: Share this with a shared-room student.
TEXT: Share with a student</x:v>
      </x:c>
      <x:c r="J48" s="25" t="n">
        <x:v>64</x:v>
      </x:c>
      <x:c r="K48" s="25" t="n">
        <x:f>J48*60/C48</x:f>
        <x:v>128</x:v>
      </x:c>
    </x:row>
    <x:row r="49" ht="150" customHeight="1">
      <x:c r="A49" s="16" t="str">
        <x:v>AR044</x:v>
      </x:c>
      <x:c r="B49" s="16" t="str">
        <x:v>One question before a longer commitment</x:v>
      </x:c>
      <x:c r="C49" s="21" t="n">
        <x:v>30</x:v>
      </x:c>
      <x:c r="D49" s="16" t="str">
        <x:v>Try this real sample first. You can inspect the question and its explanation before choosing more practice. Follow the sample route shown here. Make your own attempt, then check whether the explanation clarifies the method. Read any access step before continuing. Use that experience to evaluate the practice option. Keep your working for the next question. Open the shown sample through our profile.</x:v>
      </x:c>
      <x:c r="E49" s="24" t="str">
        <x:v>00–03s
VISUAL: Real sample question fills frame with answer hidden.
SAY: Try this real sample first.
TEXT: TRY THIS SAMPLE</x:v>
      </x:c>
      <x:c r="F49" s="16" t="str">
        <x:v>03–08s
VISUAL: Show sample entry page.
SAY: You can inspect the question and its explanation before choosing more practice.
TEXT: Read before checking</x:v>
      </x:c>
      <x:c r="G49" s="16" t="str">
        <x:v>08–19s
VISUAL: Record actual attempt and accessible explanation route.
SAY: Follow the sample route shown here. Make your own attempt, then check whether the explanation clarifies the method. Read any access step before continuing.
TEXT: Attempt → explanation</x:v>
      </x:c>
      <x:c r="H49" s="16" t="str">
        <x:v>19–26s
VISUAL: Creator compares working and visible method.
SAY: Use that experience to evaluate the practice option. Keep your working for the next question.
TEXT: Evaluate the actual experience</x:v>
      </x:c>
      <x:c r="I49" s="16" t="str">
        <x:v>26–30s
VISUAL: Return to verified sample link.
SAY: Open the shown sample through our profile.
TEXT: Open the shown sample</x:v>
      </x:c>
      <x:c r="J49" s="26" t="n">
        <x:v>63</x:v>
      </x:c>
      <x:c r="K49" s="26" t="n">
        <x:f>J49*60/C49</x:f>
        <x:v>126</x:v>
      </x:c>
    </x:row>
    <x:row r="50" ht="150" customHeight="1">
      <x:c r="A50" s="15" t="str">
        <x:v>AR045</x:v>
      </x:c>
      <x:c r="B50" s="15" t="str">
        <x:v>Two students, different free hours</x:v>
      </x:c>
      <x:c r="C50" s="19" t="n">
        <x:v>30</x:v>
      </x:c>
      <x:c r="D50" s="15" t="str">
        <x:v>Your free hour is different. One friend studies before college; another opens the notebook after work. Give each plan a small task that fits its real window. Both can attempt the same question and compare their reasoning when they meet later. The useful comparison is the work they can explain. Keep the session size realistic for the time you actually have. Send this to your differently-timed study partner.</x:v>
      </x:c>
      <x:c r="E50" s="23" t="str">
        <x:v>00–03s
VISUAL: Split-screen two clocks beside identical notebooks.
SAY: Your free hour is different.
TEXT: DIFFERENT FREE HOURS</x:v>
      </x:c>
      <x:c r="F50" s="15" t="str">
        <x:v>03–08s
VISUAL: Show before-college and after-work labels.
SAY: One friend studies before college; another opens the notebook after work.
TEXT: Before college • after work</x:v>
      </x:c>
      <x:c r="G50" s="15" t="str">
        <x:v>08–18s
VISUAL: Both perform separate attempts of same question.
SAY: Give each plan a small task that fits its real window. Both can attempt the same question and compare their reasoning when they meet later.
TEXT: Same question, own window</x:v>
      </x:c>
      <x:c r="H50" s="15" t="str">
        <x:v>18–26s
VISUAL: Match-cut their workings side by side later.
SAY: The useful comparison is the work they can explain. Keep the session size realistic for the time you actually have.
TEXT: Compare the working</x:v>
      </x:c>
      <x:c r="I50" s="15" t="str">
        <x:v>26–30s
VISUAL: Clocks return beside the same question.
SAY: Send this to your differently-timed study partner.
TEXT: Send to your partner</x:v>
      </x:c>
      <x:c r="J50" s="25" t="n">
        <x:v>68</x:v>
      </x:c>
      <x:c r="K50" s="25" t="n">
        <x:f>J50*60/C50</x:f>
        <x:v>136</x:v>
      </x:c>
    </x:row>
    <x:row r="51" ht="150" customHeight="1">
      <x:c r="A51" s="16" t="str">
        <x:v>AR046</x:v>
      </x:c>
      <x:c r="B51" s="16" t="str">
        <x:v>Area is not the boundary</x:v>
      </x:c>
      <x:c r="C51" s="21" t="n">
        <x:v>30</x:v>
      </x:c>
      <x:c r="D51" s="16" t="str">
        <x:v>Inside or around this rectangle? Its sides are four centimetres and three centimetres in this original example. Area measures the inside: four times three gives twelve square centimetres. Perimeter measures the boundary: twice four plus twice three gives fourteen centimetres. Read which quantity the question asks for. The units help you check whether your answer describes coverage or length. Save this area-and-perimeter comparison.</x:v>
      </x:c>
      <x:c r="E51" s="24" t="str">
        <x:v>00–03s
VISUAL: Trace rectangle outline then tap shaded interior.
SAY: Inside or around this rectangle?
TEXT: INSIDE OR AROUND?</x:v>
      </x:c>
      <x:c r="F51" s="16" t="str">
        <x:v>03–08s
VISUAL: Show sides4cm and3cm.
SAY: Its sides are four centimetres and three centimetres in this original example.
TEXT: 4 cm × 3 cm</x:v>
      </x:c>
      <x:c r="G51" s="16" t="str">
        <x:v>08–18s
VISUAL: Fill12 square tiles; trace14cm boundary.
SAY: Area measures the inside: four times three gives twelve square centimetres. Perimeter measures the boundary: twice four plus twice three gives fourteen centimetres.
TEXT: Area 12 cm²</x:v>
      </x:c>
      <x:c r="H51" s="16" t="str">
        <x:v>18–26s
VISUAL: Highlight cm² versus cm labels.
SAY: Read which quantity the question asks for. The units help you check whether your answer describes coverage or length.
TEXT: Perimeter 14 cm</x:v>
      </x:c>
      <x:c r="I51" s="16" t="str">
        <x:v>26–30s
VISUAL: Split screen interior12/boundary14.
SAY: Save this area-and-perimeter comparison.
TEXT: Save the comparison</x:v>
      </x:c>
      <x:c r="J51" s="26" t="n">
        <x:v>63</x:v>
      </x:c>
      <x:c r="K51" s="26" t="n">
        <x:f>J51*60/C51</x:f>
        <x:v>126</x:v>
      </x:c>
    </x:row>
    <x:row r="52" ht="150" customHeight="1">
      <x:c r="A52" s="15" t="str">
        <x:v>AR047</x:v>
      </x:c>
      <x:c r="B52" s="15" t="str">
        <x:v>Four directions, one turn</x:v>
      </x:c>
      <x:c r="C52" s="19" t="n">
        <x:v>30</x:v>
      </x:c>
      <x:c r="D52" s="15" t="str">
        <x:v>North. One right turn. Where now? Use this compass card and point before the arrow moves. Facing north, a right turn points east. Now turn right again from east, and you face south. Each turn uses the direction you currently face. Track the arrow after every instruction rather than keeping the original direction in mind throughout. Comment the direction after the first turn.</x:v>
      </x:c>
      <x:c r="E52" s="23" t="str">
        <x:v>00–03s
VISUAL: Creator faces paper N arrow; hand poised to turn.
SAY: North. One right turn. Where now?
TEXT: POINT THE DIRECTION</x:v>
      </x:c>
      <x:c r="F52" s="15" t="str">
        <x:v>03–08s
VISUAL: Show N/E/S/W labels and first-turn question.
SAY: Use this compass card and point before the arrow moves.
TEXT: Face north</x:v>
      </x:c>
      <x:c r="G52" s="15" t="str">
        <x:v>08–19s
VISUAL: Rotate arrow north→east→south with pauses.
SAY: Facing north, a right turn points east. Now turn right again from east, and you face south. Each turn uses the direction you currently face.
TEXT: Right → east → south</x:v>
      </x:c>
      <x:c r="H52" s="15" t="str">
        <x:v>19–26s
VISUAL: Circle the current direction after each turn.
SAY: Track the arrow after every instruction rather than keeping the original direction in mind throughout.
TEXT: Track each turn</x:v>
      </x:c>
      <x:c r="I52" s="15" t="str">
        <x:v>26–30s
VISUAL: Reset north and hold first turn hidden.
SAY: Comment the direction after the first turn.
TEXT: First turn answer?</x:v>
      </x:c>
      <x:c r="J52" s="25" t="n">
        <x:v>63</x:v>
      </x:c>
      <x:c r="K52" s="25" t="n">
        <x:f>J52*60/C52</x:f>
        <x:v>126</x:v>
      </x:c>
    </x:row>
    <x:row r="53" ht="150" customHeight="1">
      <x:c r="A53" s="16" t="str">
        <x:v>AR048</x:v>
      </x:c>
      <x:c r="B53" s="16" t="str">
        <x:v>Source cards for two parks</x:v>
      </x:c>
      <x:c r="C53" s="21" t="n">
        <x:v>30</x:v>
      </x:c>
      <x:c r="D53" s="16" t="str">
        <x:v>Keep these park cards separate. Kaziranga and Manas both appear in Assam GK, but one clue should not replace another. Kaziranga’s UNESCO listing records its World Heritage inscription in nineteen eighty-five. The Manas listing describes its Himalayan foothill setting. Attach each fact to its own site name and source. Test one clue at a time, with the name hidden. That keeps your revision question precise. Save this two-card revision format.</x:v>
      </x:c>
      <x:c r="E53" s="24" t="str">
        <x:v>00–03s
VISUAL: Separate two cards that were stacked together.
SAY: Keep these park cards separate.
TEXT: KEEP CARDS SEPARATE</x:v>
      </x:c>
      <x:c r="F53" s="16" t="str">
        <x:v>03–09s
VISUAL: Place park names side by side.
SAY: Kaziranga and Manas both appear in Assam GK, but one clue should not replace another.
TEXT: Kaziranga • Manas</x:v>
      </x:c>
      <x:c r="G53" s="16" t="str">
        <x:v>09–20s
VISUAL: Add1985 under Kaziranga and foothills under Manas.
SAY: Kaziranga’s UNESCO listing records its World Heritage inscription in nineteen eighty-five. The Manas listing describes its Himalayan foothill setting. Attach each fact to its own site name and source.
TEXT: 1985 • Himalayan foothills</x:v>
      </x:c>
      <x:c r="H53" s="16" t="str">
        <x:v>20–26s
VISUAL: Hide each name separately for recall.
SAY: Test one clue at a time, with the name hidden. That keeps your revision question precise.
TEXT: One clue per card</x:v>
      </x:c>
      <x:c r="I53" s="16" t="str">
        <x:v>26–30s
VISUAL: Show source IDs under both cards.
SAY: Save this two-card revision format.
TEXT: Save the revision format</x:v>
      </x:c>
      <x:c r="J53" s="26" t="n">
        <x:v>70</x:v>
      </x:c>
      <x:c r="K53" s="26" t="n">
        <x:f>J53*60/C53</x:f>
        <x:v>140</x:v>
      </x:c>
    </x:row>
    <x:row r="54" ht="150" customHeight="1">
      <x:c r="A54" s="15" t="str">
        <x:v>AR049</x:v>
      </x:c>
      <x:c r="B54" s="15" t="str">
        <x:v>Use a planner with a real window</x:v>
      </x:c>
      <x:c r="C54" s="19" t="n">
        <x:v>30</x:v>
      </x:c>
      <x:c r="D54" s="15" t="str">
        <x:v>Give the planner a real study window. Tonight’s window is twenty minutes, and your chosen topic is percentages. Enter only the fields the current Study Planner supports. Check its output and reduce the task yourself if it exceeds your available time. Put the selected task in your notebook and attempt its first question. Planning should lead to practice. Open the Study Planner through the shown link.</x:v>
      </x:c>
      <x:c r="E54" s="23" t="str">
        <x:v>00–03s
VISUAL: Move20-minute card onto real planner screen.
SAY: Give the planner a real study window.
TEXT: YOUR REAL WINDOW</x:v>
      </x:c>
      <x:c r="F54" s="15" t="str">
        <x:v>03–08s
VISUAL: Show notebook topic and time window.
SAY: Tonight’s window is twenty minutes, and your chosen topic is percentages.
TEXT: 20 minutes • percentages</x:v>
      </x:c>
      <x:c r="G54" s="15" t="str">
        <x:v>08–18s
VISUAL: Record supported inputs and genuine output.
SAY: Enter only the fields the current Study Planner supports. Check its output and reduce the task yourself if it exceeds your available time.
TEXT: Use supported fields</x:v>
      </x:c>
      <x:c r="H54" s="15" t="str">
        <x:v>18–26s
VISUAL: Select realistic task; start related question.
SAY: Put the selected task in your notebook and attempt its first question. Planning should lead to practice.
TEXT: Choose an achievable task</x:v>
      </x:c>
      <x:c r="I54" s="15" t="str">
        <x:v>26–30s
VISUAL: Freeze actual planner entry point.
SAY: Open the Study Planner through the shown link.
TEXT: Open Study Planner</x:v>
      </x:c>
      <x:c r="J54" s="25" t="n">
        <x:v>66</x:v>
      </x:c>
      <x:c r="K54" s="25" t="n">
        <x:f>J54*60/C54</x:f>
        <x:v>132</x:v>
      </x:c>
    </x:row>
    <x:row r="55" ht="150" customHeight="1">
      <x:c r="A55" s="16" t="str">
        <x:v>AR050</x:v>
      </x:c>
      <x:c r="B55" s="16" t="str">
        <x:v>An Assamese explanation aloud</x:v>
      </x:c>
      <x:c r="C55" s="21" t="n">
        <x:v>30</x:v>
      </x:c>
      <x:c r="D55" s="16" t="str">
        <x:v>The explanation matters in Assamese too. Put a fully reviewed Assamese question and explanation beside the English version. Use the ratio example: fifty split into two to three. Five equal parts make ten each, giving twenty and thirty. Keep that complete reasoning in both versions. Read the translated instructions aloud and check the rendered letters before posting. Every option should still match. Comment the topic you want explained next.</x:v>
      </x:c>
      <x:c r="E55" s="24" t="str">
        <x:v>00–03s
VISUAL: Highlight explanation area on Assamese card, not just heading.
SAY: The explanation matters in Assamese too.
TEXT: EXPLAIN THE WHOLE METHOD</x:v>
      </x:c>
      <x:c r="F55" s="16" t="str">
        <x:v>03–08s
VISUAL: Reveal paired English card.
SAY: Put a fully reviewed Assamese question and explanation beside the English version.
TEXT: Both versions complete</x:v>
      </x:c>
      <x:c r="G55" s="16" t="str">
        <x:v>08–19s
VISUAL: Draw five equal boxes under both versions.
SAY: Use the ratio example: fifty split into two to three. Five equal parts make ten each, giving twenty and thirty. Keep that complete reasoning in both versions.
TEXT: 5 parts → 20 and 30</x:v>
      </x:c>
      <x:c r="H55" s="16" t="str">
        <x:v>19–26s
VISUAL: Fluent reader checks printed script and phone render.
SAY: Read the translated instructions aloud and check the rendered letters before posting. Every option should still match.
TEXT: Read and proofread</x:v>
      </x:c>
      <x:c r="I55" s="16" t="str">
        <x:v>26–30s
VISUAL: Point to next-topic prompt on both cards.
SAY: Comment the topic you want explained next.
TEXT: Which topic next?</x:v>
      </x:c>
      <x:c r="J55" s="26" t="n">
        <x:v>69</x:v>
      </x:c>
      <x:c r="K55" s="26" t="n">
        <x:f>J55*60/C55</x:f>
        <x:v>138</x:v>
      </x:c>
    </x:row>
    <x:row r="56" ht="150" customHeight="1">
      <x:c r="A56" s="15" t="str">
        <x:v>AR051</x:v>
      </x:c>
      <x:c r="B56" s="15" t="str">
        <x:v>Ten rupees in the wrong pile</x:v>
      </x:c>
      <x:c r="C56" s="19" t="n">
        <x:v>30</x:v>
      </x:c>
      <x:c r="D56" s="15" t="str">
        <x:v>Which pile is the percentage base? This original example buys an item for fifty and sells it for sixty. The profit is ten rupees. To find profit percentage, compare that ten with the fifty-rupee cost, giving ten divided by fifty times one hundred, or twenty percent. Using sixty would answer a different calculation. Label cost price before choosing the denominator. Share this with your maths practice partner.</x:v>
      </x:c>
      <x:c r="E56" s="23" t="str">
        <x:v>00–03s
VISUAL: Move ₹10 paper token between COST and SELLING piles.
SAY: Which pile is the percentage base?
TEXT: WHICH BASE?</x:v>
      </x:c>
      <x:c r="F56" s="15" t="str">
        <x:v>03–09s
VISUAL: Show fictional ₹50 cost and ₹60 sale.
SAY: This original example buys an item for fifty and sells it for sixty.
TEXT: Cost ₹50 • sale ₹60</x:v>
      </x:c>
      <x:c r="G56" s="15" t="str">
        <x:v>09–20s
VISUAL: Write profit10; divide by50 and reveal20%.
SAY: The profit is ten rupees. To find profit percentage, compare that ten with the fifty-rupee cost, giving ten divided by fifty times one hundred, or twenty percent.
TEXT: Profit ₹10 ÷ cost ₹50</x:v>
      </x:c>
      <x:c r="H56" s="15" t="str">
        <x:v>20–26s
VISUAL: Circle COST as base; move selling pile aside.
SAY: Using sixty would answer a different calculation. Label cost price before choosing the denominator.
TEXT: Profit = 20%</x:v>
      </x:c>
      <x:c r="I56" s="15" t="str">
        <x:v>26–30s
VISUAL: Return token between the two labelled piles.
SAY: Share this with your maths practice partner.
TEXT: Share the base check</x:v>
      </x:c>
      <x:c r="J56" s="25" t="n">
        <x:v>67</x:v>
      </x:c>
      <x:c r="K56" s="25" t="n">
        <x:f>J56*60/C56</x:f>
        <x:v>134</x:v>
      </x:c>
    </x:row>
    <x:row r="57" ht="150" customHeight="1">
      <x:c r="A57" s="16" t="str">
        <x:v>AR052</x:v>
      </x:c>
      <x:c r="B57" s="16" t="str">
        <x:v>A repeat attempt with the answer covered</x:v>
      </x:c>
      <x:c r="C57" s="21" t="n">
        <x:v>30</x:v>
      </x:c>
      <x:c r="D57" s="16" t="str">
        <x:v>Cover the answer and attempt again. Use a question you already reviewed, with the explanation hidden. Write the method from memory, then uncover the explanation and compare each step. If one step disappears, mark it and write a short reason beside the corrected line. This gives you a practical check of what you can reproduce today. Use a similar new question after this repeat. Try one covered-answer attempt now.</x:v>
      </x:c>
      <x:c r="E57" s="24" t="str">
        <x:v>00–03s
VISUAL: Cover corrected working with an opaque sheet.
SAY: Cover the answer and attempt again.
TEXT: COVER THE ANSWER</x:v>
      </x:c>
      <x:c r="F57" s="16" t="str">
        <x:v>03–07s
VISUAL: Show familiar original question only.
SAY: Use a question you already reviewed, with the explanation hidden.
TEXT: Attempt from memory</x:v>
      </x:c>
      <x:c r="G57" s="16" t="str">
        <x:v>07–18s
VISUAL: Creator reconstructs method on fresh page.
SAY: Write the method from memory, then uncover the explanation and compare each step. If one step disappears, mark it and write a short reason beside the corrected line.
TEXT: Compare each step</x:v>
      </x:c>
      <x:c r="H57" s="16" t="str">
        <x:v>18–26s
VISUAL: Lift cover; compare line by line.
SAY: This gives you a practical check of what you can reproduce today. Use a similar new question after this repeat.
TEXT: Mark the missing line</x:v>
      </x:c>
      <x:c r="I57" s="16" t="str">
        <x:v>26–30s
VISUAL: Place similar question below both workings.
SAY: Try one covered-answer attempt now.
TEXT: Try one repeat now</x:v>
      </x:c>
      <x:c r="J57" s="26" t="n">
        <x:v>69</x:v>
      </x:c>
      <x:c r="K57" s="26" t="n">
        <x:f>J57*60/C57</x:f>
        <x:v>138</x:v>
      </x:c>
    </x:row>
    <x:row r="58" ht="150" customHeight="1">
      <x:c r="A58" s="15" t="str">
        <x:v>AR053</x:v>
      </x:c>
      <x:c r="B58" s="15" t="str">
        <x:v>A mistake without a public score</x:v>
      </x:c>
      <x:c r="C58" s="19" t="n">
        <x:v>30</x:v>
      </x:c>
      <x:c r="D58" s="15" t="str">
        <x:v>You can keep the score private. Turn the result away and bring one confusing question onto the desk. Write the answer you chose and the step that led there. Compare it with the correct explanation, then note what you would change next time. Your review can stay private. Sharing a result is optional; understanding the question is today’s task. Send this to a friend reviewing mistakes.</x:v>
      </x:c>
      <x:c r="E58" s="23" t="str">
        <x:v>00–03s
VISUAL: Flip a blank mock-result prop face down.
SAY: You can keep the score private.
TEXT: REVIEW CAN BE PRIVATE</x:v>
      </x:c>
      <x:c r="F58" s="15" t="str">
        <x:v>03–08s
VISUAL: Pull one original question forward.
SAY: Turn the result away and bring one confusing question onto the desk.
TEXT: One confusing question</x:v>
      </x:c>
      <x:c r="G58" s="15" t="str">
        <x:v>08–19s
VISUAL: Show wrong working beside correct working.
SAY: Write the answer you chose and the step that led there. Compare it with the correct explanation, then note what you would change next time.
TEXT: Compare the methods</x:v>
      </x:c>
      <x:c r="H58" s="15" t="str">
        <x:v>19–26s
VISUAL: Circle one corrected step with score still hidden.
SAY: Your review can stay private. Sharing a result is optional; understanding the question is today’s task.
TEXT: Keep the useful correction</x:v>
      </x:c>
      <x:c r="I58" s="15" t="str">
        <x:v>26–30s
VISUAL: Close notebook; leave private review label visible.
SAY: Send this to a friend reviewing mistakes.
TEXT: Send to a friend</x:v>
      </x:c>
      <x:c r="J58" s="25" t="n">
        <x:v>66</x:v>
      </x:c>
      <x:c r="K58" s="25" t="n">
        <x:f>J58*60/C58</x:f>
        <x:v>132</x:v>
      </x:c>
    </x:row>
    <x:row r="59" ht="150" customHeight="1">
      <x:c r="A59" s="16" t="str">
        <x:v>AR054</x:v>
      </x:c>
      <x:c r="B59" s="16" t="str">
        <x:v>Eligibility tool with the source beside it</x:v>
      </x:c>
      <x:c r="C59" s="21" t="n">
        <x:v>30</x:v>
      </x:c>
      <x:c r="D59" s="16" t="str">
        <x:v>Keep the notice beside the checker. The official exam notice supplies the rules you need to read. For a supported examination, enter the requested details and inspect the result. Compare its criteria with the official notice and your documents. Use the tool to begin checking information. Resolve any mismatch before deciding about an application. Open the checker and its source notice.</x:v>
      </x:c>
      <x:c r="E59" s="24" t="str">
        <x:v>00–03s
VISUAL: Place official-notice window beside actual checker.
SAY: Keep the notice beside the checker.
TEXT: NOTICE BESIDE TOOL</x:v>
      </x:c>
      <x:c r="F59" s="16" t="str">
        <x:v>03–08s
VISUAL: Show supported exam selection, date and source.
SAY: The official exam notice supplies the rules you need to read.
TEXT: Select a supported exam</x:v>
      </x:c>
      <x:c r="G59" s="16" t="str">
        <x:v>08–19s
VISUAL: Record a clearly labelled fictional input example.
SAY: For a supported examination, enter the requested details and inspect the result. Compare its criteria with the official notice and your documents.
TEXT: Check result against notice</x:v>
      </x:c>
      <x:c r="H59" s="16" t="str">
        <x:v>19–26s
VISUAL: Compare output criteria with official notice excerpt.
SAY: Use the tool to begin checking information. Resolve any mismatch before deciding about an application.
TEXT: Resolve any mismatch</x:v>
      </x:c>
      <x:c r="I59" s="16" t="str">
        <x:v>26–30s
VISUAL: End on verified checker and source link.
SAY: Open the checker and its source notice.
TEXT: Open checker and source</x:v>
      </x:c>
      <x:c r="J59" s="26" t="n">
        <x:v>61</x:v>
      </x:c>
      <x:c r="K59" s="26" t="n">
        <x:f>J59*60/C59</x:f>
        <x:v>122</x:v>
      </x:c>
    </x:row>
    <x:row r="60" ht="150" customHeight="1">
      <x:c r="A60" s="15" t="str">
        <x:v>AR055</x:v>
      </x:c>
      <x:c r="B60" s="15" t="str">
        <x:v>Clap the multiplication check</x:v>
      </x:c>
      <x:c r="C60" s="19" t="n">
        <x:v>30</x:v>
      </x:c>
      <x:c r="D60" s="15" t="str">
        <x:v>Four packets. Six in each. Before the answer appears, point to the operation this question needs. Four equal groups of six means four multiplied by six, giving twenty-four items altogether. Adding four and six would ignore what each packet contains. Now keep the packet count and the amount per packet labelled. Those labels make the operation easier to justify. Comment the operation you chose.</x:v>
      </x:c>
      <x:c r="E60" s="23" t="str">
        <x:v>00–03s
VISUAL: Drop four small paper packets onto table on four beats.
SAY: Four packets. Six in each.
TEXT: CHOOSE THE OPERATION</x:v>
      </x:c>
      <x:c r="F60" s="15" t="str">
        <x:v>03–08s
VISUAL: Display “6 items per packet” and +/× options.
SAY: Before the answer appears, point to the operation this question needs.
TEXT: 4 packets • 6 each</x:v>
      </x:c>
      <x:c r="G60" s="15" t="str">
        <x:v>08–18s
VISUAL: Open packets as graphic groups; reveal4×6=24.
SAY: Four equal groups of six means four multiplied by six, giving twenty-four items altogether. Adding four and six would ignore what each packet contains.
TEXT: 4 × 6 = 24</x:v>
      </x:c>
      <x:c r="H60" s="15" t="str">
        <x:v>18–26s
VISUAL: Bracket groups and contents separately.
SAY: Now keep the packet count and the amount per packet labelled. Those labels make the operation easier to justify.
TEXT: Groups × amount per group</x:v>
      </x:c>
      <x:c r="I60" s="15" t="str">
        <x:v>26–30s
VISUAL: Repack and repeat the opening drop.
SAY: Comment the operation you chose.
TEXT: Which operation?</x:v>
      </x:c>
      <x:c r="J60" s="25" t="n">
        <x:v>64</x:v>
      </x:c>
      <x:c r="K60" s="25" t="n">
        <x:f>J60*60/C60</x:f>
        <x:v>128</x:v>
      </x:c>
    </x:row>
    <x:row r="61" ht="150" customHeight="1">
      <x:c r="A61" s="16" t="str">
        <x:v>AR056</x:v>
      </x:c>
      <x:c r="B61" s="16" t="str">
        <x:v>Your explanation becomes the lesson</x:v>
      </x:c>
      <x:c r="C61" s="21" t="n">
        <x:v>30</x:v>
      </x:c>
      <x:c r="D61" s="16" t="str">
        <x:v>Bring us the confusing step. Here is a creator-written example: why do we divide fifty by five? The ratio is two to three, representing five equal parts. Fifty divided by five gives one part’s value, before assigning two or three parts. A precise question focuses the explanation on the missing link. Your working can help show it. Comment the step you want explained.</x:v>
      </x:c>
      <x:c r="E61" s="24" t="str">
        <x:v>00–03s
VISUAL: Reveal a sample question card labelled creator example.
SAY: Bring us the confusing step.
TEXT: BRING THE STEP</x:v>
      </x:c>
      <x:c r="F61" s="16" t="str">
        <x:v>03–08s
VISUAL: Zoom into denominator5 under50.
SAY: Here is a creator-written example: why do we divide fifty by five?
TEXT: Why divide by 5?</x:v>
      </x:c>
      <x:c r="G61" s="16" t="str">
        <x:v>08–19s
VISUAL: Draw five equal boxes; assign two and three.
SAY: The ratio is two to three, representing five equal parts. Fifty divided by five gives one part’s value, before assigning two or three parts.
TEXT: 2 + 3 equal parts</x:v>
      </x:c>
      <x:c r="H61" s="16" t="str">
        <x:v>19–26s
VISUAL: Write a one-line explanation request template.
SAY: A precise question focuses the explanation on the missing link. Your working can help show it.
TEXT: Ask a specific question</x:v>
      </x:c>
      <x:c r="I61" s="16" t="str">
        <x:v>26–30s
VISUAL: Point to blank “my confusing step” box.
SAY: Comment the step you want explained.
TEXT: Comment your step</x:v>
      </x:c>
      <x:c r="J61" s="26" t="n">
        <x:v>63</x:v>
      </x:c>
      <x:c r="K61" s="26" t="n">
        <x:f>J61*60/C61</x:f>
        <x:v>126</x:v>
      </x:c>
    </x:row>
    <x:row r="62" ht="150" customHeight="1">
      <x:c r="A62" s="15" t="str">
        <x:v>AR057</x:v>
      </x:c>
      <x:c r="B62" s="15" t="str">
        <x:v>A GK card in a different landscape</x:v>
      </x:c>
      <x:c r="C62" s="19" t="n">
        <x:v>30</x:v>
      </x:c>
      <x:c r="D62" s="15" t="str">
        <x:v>Foothills behind it. Name the sanctuary. Choose Manas or Kaziranga using this landscape clue. UNESCO describes Manas Wildlife Sanctuary at the Himalayan foothills, with grasslands and forests. Keep the sanctuary name connected to the landscape cue on your revision card. Location clues ask something different from wildlife clues. Read what the question actually names. Share this with your Assam GK friend.</x:v>
      </x:c>
      <x:c r="E62" s="23" t="str">
        <x:v>00–03s
VISUAL: Raise a labelled foothill illustration behind hidden answer.
SAY: Foothills behind it. Name the sanctuary.
TEXT: NAME THE SANCTUARY</x:v>
      </x:c>
      <x:c r="F62" s="15" t="str">
        <x:v>03–07s
VISUAL: Display Manas/Kaziranga choices.
SAY: Choose Manas or Kaziranga using this landscape clue.
TEXT: Himalayan foothills</x:v>
      </x:c>
      <x:c r="G62" s="15" t="str">
        <x:v>07–19s
VISUAL: Reveal Manas and short sourced landscape cue.
SAY: UNESCO describes Manas Wildlife Sanctuary at the Himalayan foothills, with grasslands and forests. Keep the sanctuary name connected to the landscape cue on your revision card.
TEXT: Manas Wildlife Sanctuary</x:v>
      </x:c>
      <x:c r="H62" s="15" t="str">
        <x:v>19–26s
VISUAL: Swap animal icon for landscape icon to show wording.
SAY: Location clues ask something different from wildlife clues. Read what the question actually names.
TEXT: Read the landscape clue</x:v>
      </x:c>
      <x:c r="I62" s="15" t="str">
        <x:v>26–30s
VISUAL: Cover sanctuary name for loop.
SAY: Share this with your Assam GK friend.
TEXT: Share the GK clue</x:v>
      </x:c>
      <x:c r="J62" s="25" t="n">
        <x:v>61</x:v>
      </x:c>
      <x:c r="K62" s="25" t="n">
        <x:f>J62*60/C62</x:f>
        <x:v>122</x:v>
      </x:c>
    </x:row>
    <x:row r="63" ht="150" customHeight="1">
      <x:c r="A63" s="16" t="str">
        <x:v>AR058</x:v>
      </x:c>
      <x:c r="B63" s="16" t="str">
        <x:v>The option elimination check</x:v>
      </x:c>
      <x:c r="C63" s="21" t="n">
        <x:v>30</x:v>
      </x:c>
      <x:c r="D63" s="16" t="str">
        <x:v>Cross it out for a reason. Which number is divisible by five: twelve, twenty-three, thirty-five, or forty-two? In base-ten whole numbers, a final digit of zero or five indicates divisibility by five. Only thirty-five has that final digit here, so eliminate the others. Write the rule beside the crossing-out. You can then check that your elimination follows the question instead of a guess. Save this option-check example.</x:v>
      </x:c>
      <x:c r="E63" s="24" t="str">
        <x:v>00–03s
VISUAL: Strike option12; pause over an empty reason line.
SAY: Cross it out for a reason.
TEXT: WRITE THE REASON</x:v>
      </x:c>
      <x:c r="F63" s="16" t="str">
        <x:v>03–07s
VISUAL: Show all four options.
SAY: Which number is divisible by five: twelve, twenty-three, thirty-five, or forty-two?
TEXT: 12 • 23 • 35 • 42</x:v>
      </x:c>
      <x:c r="G63" s="16" t="str">
        <x:v>07–18s
VISUAL: Circle last digits; select35.
SAY: In base-ten whole numbers, a final digit of zero or five indicates divisibility by five. Only thirty-five has that final digit here, so eliminate the others.
TEXT: Ends in 0 or 5</x:v>
      </x:c>
      <x:c r="H63" s="16" t="str">
        <x:v>18–26s
VISUAL: Write “last digit0or5” beside crossed options.
SAY: Write the rule beside the crossing-out. You can then check that your elimination follows the question instead of a guess.
TEXT: Answer = 35</x:v>
      </x:c>
      <x:c r="I63" s="16" t="str">
        <x:v>26–30s
VISUAL: Restore options with rule visible.
SAY: Save this option-check example.
TEXT: Save the rule check</x:v>
      </x:c>
      <x:c r="J63" s="26" t="n">
        <x:v>67</x:v>
      </x:c>
      <x:c r="K63" s="26" t="n">
        <x:f>J63*60/C63</x:f>
        <x:v>134</x:v>
      </x:c>
    </x:row>
    <x:row r="64" ht="150" customHeight="1">
      <x:c r="A64" s="15" t="str">
        <x:v>AR059</x:v>
      </x:c>
      <x:c r="B64" s="15" t="str">
        <x:v>What Document Vault actually offers</x:v>
      </x:c>
      <x:c r="C64" s="19" t="n">
        <x:v>30</x:v>
      </x:c>
      <x:c r="D64" s="15" t="str">
        <x:v>Read the service before you enquire. This screen shows the current Document Vault description and contact route. Look at the tasks the service actually offers, the documents it requests, and the listed process or charges. Keep personal documents out of the public demonstration. If the service fits, use the verified enquiry route. Ask about your task before sending files. Enquire through the shown Document Vault route.</x:v>
      </x:c>
      <x:c r="E64" s="23" t="str">
        <x:v>00–03s
VISUAL: Open actual Document Vault service-details screen.
SAY: Read the service before you enquire.
TEXT: READ THE SERVICE</x:v>
      </x:c>
      <x:c r="F64" s="15" t="str">
        <x:v>03–08s
VISUAL: Point to real service description.
SAY: This screen shows the current Document Vault description and contact route.
TEXT: Current scope</x:v>
      </x:c>
      <x:c r="G64" s="15" t="str">
        <x:v>08–19s
VISUAL: Highlight actual scope and enquiry route; use blank props.
SAY: Look at the tasks the service actually offers, the documents it requests, and the listed process or charges. Keep personal documents out of the public demonstration.
TEXT: Process and listed charges</x:v>
      </x:c>
      <x:c r="H64" s="15" t="str">
        <x:v>19–26s
VISUAL: Type task-based enquiry without attaching documents.
SAY: If the service fits, use the verified enquiry route. Ask about your task before sending files.
TEXT: Ask about your task</x:v>
      </x:c>
      <x:c r="I64" s="15" t="str">
        <x:v>26–30s
VISUAL: End on verified enquiry destination.
SAY: Enquire through the shown Document Vault route.
TEXT: Use the enquiry route</x:v>
      </x:c>
      <x:c r="J64" s="25" t="n">
        <x:v>66</x:v>
      </x:c>
      <x:c r="K64" s="25" t="n">
        <x:f>J64*60/C64</x:f>
        <x:v>132</x:v>
      </x:c>
    </x:row>
    <x:row r="65" ht="150" customHeight="1">
      <x:c r="A65" s="16" t="str">
        <x:v>AR060</x:v>
      </x:c>
      <x:c r="B65" s="16" t="str">
        <x:v>Pick the next clinic</x:v>
      </x:c>
      <x:c r="C65" s="21" t="n">
        <x:v>30</x:v>
      </x:c>
      <x:c r="D65" s="16" t="str">
        <x:v>Choose our next wrong-answer clinic. These two original questions have different traps hidden in the working. One changes the percentage base; the other forgets the ratio parts. Point to the step you want explained and say what confused you. A specific difficulty can become a clear lesson. You do not need to post your score. Comment “base” or “ratio” with your question.</x:v>
      </x:c>
      <x:c r="E65" s="24" t="str">
        <x:v>00–03s
VISUAL: Hold two envelopes labelled BASE and RATIO.
SAY: Choose our next wrong-answer clinic.
TEXT: CHOOSE THE CLINIC</x:v>
      </x:c>
      <x:c r="F65" s="16" t="str">
        <x:v>03–08s
VISUAL: Reveal one wrong working from each.
SAY: These two original questions have different traps hidden in the working.
TEXT: BASE or RATIO</x:v>
      </x:c>
      <x:c r="G65" s="16" t="str">
        <x:v>08–19s
VISUAL: Point to changed denominator and missing part.
SAY: One changes the percentage base; the other forgets the ratio parts. Point to the step you want explained and say what confused you.
TEXT: Which step confused you?</x:v>
      </x:c>
      <x:c r="H65" s="16" t="str">
        <x:v>19–26s
VISUAL: Show empty next-lesson page with selected label.
SAY: A specific difficulty can become a clear lesson. You do not need to post your score.
TEXT: A question is enough</x:v>
      </x:c>
      <x:c r="I65" s="16" t="str">
        <x:v>26–30s
VISUAL: Hold both envelopes back up.
SAY: Comment “base” or “ratio” with your question.
TEXT: Comment your choice</x:v>
      </x:c>
      <x:c r="J65" s="26" t="n">
        <x:v>62</x:v>
      </x:c>
      <x:c r="K65" s="26" t="n">
        <x:f>J65*60/C65</x:f>
        <x:v>124</x:v>
      </x:c>
    </x:row>
    <x:row r="66" ht="150" customHeight="1">
      <x:c r="A66" s="15" t="str">
        <x:v>AR061</x:v>
      </x:c>
      <x:c r="B66" s="15" t="str">
        <x:v>The calendar square after a gap</x:v>
      </x:c>
      <x:c r="C66" s="19" t="n">
        <x:v>30</x:v>
      </x:c>
      <x:c r="D66" s="15" t="str">
        <x:v>There is a gap on the calendar. You can choose today’s task without filling yesterday’s square with an invented session. Open one question from the topic you meant to practise. Attempt it, check the reasoning, and write the next question number beside today’s date. Keep the record honest. A specific restart gives this evening a beginning and tomorrow a place to continue. Share this with someone restarting their practice.</x:v>
      </x:c>
      <x:c r="E66" s="23" t="str">
        <x:v>00–03s
VISUAL: Pencil hovers over blank calendar squares.
SAY: There is a gap on the calendar.
TEXT: AFTER A GAP</x:v>
      </x:c>
      <x:c r="F66" s="15" t="str">
        <x:v>03–08s
VISUAL: Write today’s task beside real date.
SAY: You can choose today’s task without filling yesterday’s square with an invented session.
TEXT: Choose today’s task</x:v>
      </x:c>
      <x:c r="G66" s="15" t="str">
        <x:v>08–18s
VISUAL: Attempt one original question on fresh page.
SAY: Open one question from the topic you meant to practise. Attempt it, check the reasoning, and write the next question number beside today’s date.
TEXT: Attempt and review</x:v>
      </x:c>
      <x:c r="H66" s="15" t="str">
        <x:v>18–26s
VISUAL: Leave previous gaps blank; note next question.
SAY: Keep the record honest. A specific restart gives this evening a beginning and tomorrow a place to continue.
TEXT: Record the next question</x:v>
      </x:c>
      <x:c r="I66" s="15" t="str">
        <x:v>26–30s
VISUAL: Close on honest calendar and open notebook.
SAY: Share this with someone restarting their practice.
TEXT: Share a restart</x:v>
      </x:c>
      <x:c r="J66" s="25" t="n">
        <x:v>69</x:v>
      </x:c>
      <x:c r="K66" s="25" t="n">
        <x:f>J66*60/C66</x:f>
        <x:v>138</x:v>
      </x:c>
    </x:row>
    <x:row r="67" ht="150" customHeight="1">
      <x:c r="A67" s="16" t="str">
        <x:v>AR062</x:v>
      </x:c>
      <x:c r="B67" s="16" t="str">
        <x:v>Speed needs distance and time</x:v>
      </x:c>
      <x:c r="C67" s="21" t="n">
        <x:v>30</x:v>
      </x:c>
      <x:c r="D67" s="16" t="str">
        <x:v>Sixty kilometres. Two hours. Find speed. This original journey example asks for average speed in kilometres per hour. Divide sixty kilometres by two hours. The average speed is thirty kilometres per hour. Keep the units in the fraction to show the rate. Changing either quantity changes the calculation. Read the total journey details before choosing the operation. Save this distance-over-time example.</x:v>
      </x:c>
      <x:c r="E67" s="24" t="str">
        <x:v>00–03s
VISUAL: Move paper bus along60km route beneath2h clock.
SAY: Sixty kilometres. Two hours. Find speed.
TEXT: DISTANCE AND TIME</x:v>
      </x:c>
      <x:c r="F67" s="16" t="str">
        <x:v>03–08s
VISUAL: Show “average speed=?”.
SAY: This original journey example asks for average speed in kilometres per hour.
TEXT: 60 km in 2 hours</x:v>
      </x:c>
      <x:c r="G67" s="16" t="str">
        <x:v>08–19s
VISUAL: Write60km÷2h=30km/h.
SAY: Divide sixty kilometres by two hours. The average speed is thirty kilometres per hour. Keep the units in the fraction to show the rate.
TEXT: 60 ÷ 2 = 30 km/h</x:v>
      </x:c>
      <x:c r="H67" s="16" t="str">
        <x:v>19–26s
VISUAL: Highlight distance/time units beside rate.
SAY: Changing either quantity changes the calculation. Read the total journey details before choosing the operation.
TEXT: Read the whole journey</x:v>
      </x:c>
      <x:c r="I67" s="16" t="str">
        <x:v>26–30s
VISUAL: Return bus to route start.
SAY: Save this distance-over-time example.
TEXT: Save the rate method</x:v>
      </x:c>
      <x:c r="J67" s="26" t="n">
        <x:v>61</x:v>
      </x:c>
      <x:c r="K67" s="26" t="n">
        <x:f>J67*60/C67</x:f>
        <x:v>122</x:v>
      </x:c>
    </x:row>
    <x:row r="68" ht="150" customHeight="1">
      <x:c r="A68" s="15" t="str">
        <x:v>AR063</x:v>
      </x:c>
      <x:c r="B68" s="15" t="str">
        <x:v>The decimal point moved</x:v>
      </x:c>
      <x:c r="C68" s="19" t="n">
        <x:v>30</x:v>
      </x:c>
      <x:c r="D68" s="15" t="str">
        <x:v>That dot changed the value. Compare zero point five with zero point zero five before the cards turn. Zero point five is five tenths, or half. Zero point zero five is five hundredths. The first value is ten times the second. Read the place value before choosing an option. Keep the extra zero visible when you copy the question into your notebook. Comment which value is larger.</x:v>
      </x:c>
      <x:c r="E68" s="23" t="str">
        <x:v>00–03s
VISUAL: Slide a decimal point between0.5 and0.05 cards.
SAY: That dot changed the value.
TEXT: THE DOT MATTERS</x:v>
      </x:c>
      <x:c r="F68" s="15" t="str">
        <x:v>03–08s
VISUAL: Hold both values with larger/smaller prompt.
SAY: Compare zero point five with zero point zero five before the cards turn.
TEXT: 0.5 or 0.05?</x:v>
      </x:c>
      <x:c r="G68" s="15" t="str">
        <x:v>08–17s
VISUAL: Shade50 versus5 cells in two hundred-grids.
SAY: Zero point five is five tenths, or half. Zero point zero five is five hundredths. The first value is ten times the second.
TEXT: 5 tenths • 5 hundredths</x:v>
      </x:c>
      <x:c r="H68" s="15" t="str">
        <x:v>17–26s
VISUAL: Write0.5=10×0.05 with zeros circled.
SAY: Read the place value before choosing an option. Keep the extra zero visible when you copy the question into your notebook.
TEXT: 0.5 is ten times 0.05</x:v>
      </x:c>
      <x:c r="I68" s="15" t="str">
        <x:v>26–30s
VISUAL: Reset decimal cards for loop.
SAY: Comment which value is larger.
TEXT: Which is larger?</x:v>
      </x:c>
      <x:c r="J68" s="25" t="n">
        <x:v>67</x:v>
      </x:c>
      <x:c r="K68" s="25" t="n">
        <x:f>J68*60/C68</x:f>
        <x:v>134</x:v>
      </x:c>
    </x:row>
    <x:row r="69" ht="150" customHeight="1">
      <x:c r="A69" s="16" t="str">
        <x:v>AR064</x:v>
      </x:c>
      <x:c r="B69" s="16" t="str">
        <x:v>Return to a specific next set</x:v>
      </x:c>
      <x:c r="C69" s="21" t="n">
        <x:v>30</x:v>
      </x:c>
      <x:c r="D69" s="16" t="str">
        <x:v>Your next set follows this review. Choose the topic from a real question you just attempted on AxomRank. Follow the current topic route and open the available next set. Keep the corrected method beside your working as you attempt the first question. Check the explanation and decide your next task. A returning session needs a question you can find. Open the shown set for your next session.</x:v>
      </x:c>
      <x:c r="E69" s="24" t="str">
        <x:v>00–03s
VISUAL: Point from genuine creator review to live next-set route.
SAY: Your next set follows this review.
TEXT: AFTER THE REVIEW</x:v>
      </x:c>
      <x:c r="F69" s="16" t="str">
        <x:v>03–08s
VISUAL: Show corrected notebook method.
SAY: Choose the topic from a real question you just attempted on AxomRank.
TEXT: Pick the missed topic</x:v>
      </x:c>
      <x:c r="G69" s="16" t="str">
        <x:v>08–19s
VISUAL: Record actual topic navigation and available set.
SAY: Follow the current topic route and open the available next set. Keep the corrected method beside your working as you attempt the first question.
TEXT: Open the available set</x:v>
      </x:c>
      <x:c r="H69" s="16" t="str">
        <x:v>19–26s
VISUAL: Attempt question and reveal genuine explanation.
SAY: Check the explanation and decide your next task. A returning session needs a question you can find.
TEXT: Use your corrected method</x:v>
      </x:c>
      <x:c r="I69" s="16" t="str">
        <x:v>26–30s
VISUAL: End on verified next-set destination.
SAY: Open the shown set for your next session.
TEXT: Start the next session</x:v>
      </x:c>
      <x:c r="J69" s="26" t="n">
        <x:v>67</x:v>
      </x:c>
      <x:c r="K69" s="26" t="n">
        <x:f>J69*60/C69</x:f>
        <x:v>134</x:v>
      </x:c>
    </x:row>
    <x:row r="70" ht="150" customHeight="1">
      <x:c r="A70" s="15" t="str">
        <x:v>AR065</x:v>
      </x:c>
      <x:c r="B70" s="15" t="str">
        <x:v>The timer rang before the review</x:v>
      </x:c>
      <x:c r="C70" s="19" t="n">
        <x:v>30</x:v>
      </x:c>
      <x:c r="D70" s="15" t="str">
        <x:v>The timer rang before your review. Your attempt is finished, but one explanation still needs attention. Mark that question and write what confused you before closing the page. Set a separate review window you can actually keep, instead of losing the question in the completed set. When that window arrives, the marked step tells you where to begin. Keep the attempt and review connected. Send this to your timed-practice partner.</x:v>
      </x:c>
      <x:c r="E70" s="23" t="str">
        <x:v>00–03s
VISUAL: Timer sounds; hand starts closing notebook.
SAY: The timer rang before your review.
TEXT: TIMER FINISHED</x:v>
      </x:c>
      <x:c r="F70" s="15" t="str">
        <x:v>03–07s
VISUAL: Stop at an unreviewed question.
SAY: Your attempt is finished, but one explanation still needs attention.
TEXT: Review still waiting</x:v>
      </x:c>
      <x:c r="G70" s="15" t="str">
        <x:v>07–19s
VISUAL: Write “review denominator” and bookmark.
SAY: Mark that question and write what confused you before closing the page. Set a separate review window you can actually keep, instead of losing the question in the completed set.
TEXT: Mark the confusing step</x:v>
      </x:c>
      <x:c r="H70" s="15" t="str">
        <x:v>19–26s
VISUAL: Place review-window slip beside question.
SAY: When that window arrives, the marked step tells you where to begin. Keep the attempt and review connected.
TEXT: Choose a review window</x:v>
      </x:c>
      <x:c r="I70" s="15" t="str">
        <x:v>26–30s
VISUAL: Return to timer with bookmark now ready.
SAY: Send this to your timed-practice partner.
TEXT: Send to your partner</x:v>
      </x:c>
      <x:c r="J70" s="25" t="n">
        <x:v>70</x:v>
      </x:c>
      <x:c r="K70" s="25" t="n">
        <x:f>J70*60/C70</x:f>
        <x:v>140</x:v>
      </x:c>
    </x:row>
    <x:row r="71" ht="150" customHeight="1">
      <x:c r="A71" s="16" t="str">
        <x:v>AR066</x:v>
      </x:c>
      <x:c r="B71" s="16" t="str">
        <x:v>Half an hour is not point five minutes</x:v>
      </x:c>
      <x:c r="C71" s="21" t="n">
        <x:v>30</x:v>
      </x:c>
      <x:c r="D71" s="16" t="str">
        <x:v>Point five hours is thirty minutes. The decimal tells you the fraction of an hour, not the minute count. Multiply zero point five by sixty minutes per hour. That gives thirty minutes. If the value were zero point two five hours, the same conversion would give fifteen minutes. Write the original unit before multiplying. The conversion factor belongs between the two units you are changing. Save this hours-to-minutes method.</x:v>
      </x:c>
      <x:c r="E71" s="24" t="str">
        <x:v>00–03s
VISUAL: Move0.5 card from HOURS label towards MINUTES.
SAY: Point five hours is thirty minutes.
TEXT: CHECK THE UNIT</x:v>
      </x:c>
      <x:c r="F71" s="16" t="str">
        <x:v>03–08s
VISUAL: Show question0.5h=?min.
SAY: The decimal tells you the fraction of an hour, not the minute count.
TEXT: 0.5 hours</x:v>
      </x:c>
      <x:c r="G71" s="16" t="str">
        <x:v>08–19s
VISUAL: Write0.5×60=30; then0.25×60=15.
SAY: Multiply zero point five by sixty minutes per hour. That gives thirty minutes. If the value were zero point two five hours, the same conversion would give fifteen minutes.
TEXT: 0.5 × 60 = 30 minutes</x:v>
      </x:c>
      <x:c r="H71" s="16" t="str">
        <x:v>19–26s
VISUAL: Draw unit bridge hours→×60→minutes.
SAY: Write the original unit before multiplying. The conversion factor belongs between the two units you are changing.
TEXT: 0.25 hours = 15 minutes</x:v>
      </x:c>
      <x:c r="I71" s="16" t="str">
        <x:v>26–30s
VISUAL: Highlight original HOURS label.
SAY: Save this hours-to-minutes method.
TEXT: Save the conversion</x:v>
      </x:c>
      <x:c r="J71" s="26" t="n">
        <x:v>69</x:v>
      </x:c>
      <x:c r="K71" s="26" t="n">
        <x:f>J71*60/C71</x:f>
        <x:v>138</x:v>
      </x:c>
    </x:row>
    <x:row r="72" ht="150" customHeight="1">
      <x:c r="A72" s="15" t="str">
        <x:v>AR067</x:v>
      </x:c>
      <x:c r="B72" s="15" t="str">
        <x:v>A note to tomorrow’s self</x:v>
      </x:c>
      <x:c r="C72" s="19" t="n">
        <x:v>30</x:v>
      </x:c>
      <x:c r="D72" s="15" t="str">
        <x:v>Tomorrow needs this question number. Before putting the notebook away, look at the point where you stopped. Write the topic, question number, and the step you want to check. Put that slip inside the page, with your pencil beside it if the space allows. When you return, open the intended task directly. The note makes the next start specific. Share this with your tomorrow-study friend.</x:v>
      </x:c>
      <x:c r="E72" s="23" t="str">
        <x:v>00–03s
VISUAL: Fold a long motivational note into a small numbered slip.
SAY: Tomorrow needs this question number.
TEXT: WRITE THE QUESTION NUMBER</x:v>
      </x:c>
      <x:c r="F72" s="15" t="str">
        <x:v>03–08s
VISUAL: Show current stopping line.
SAY: Before putting the notebook away, look at the point where you stopped.
TEXT: Where did you stop?</x:v>
      </x:c>
      <x:c r="G72" s="15" t="str">
        <x:v>08–20s
VISUAL: Write topic/question/step on slip.
SAY: Write the topic, question number, and the step you want to check. Put that slip inside the page, with your pencil beside it if the space allows.
TEXT: Topic • question • step</x:v>
      </x:c>
      <x:c r="H72" s="15" t="str">
        <x:v>20–26s
VISUAL: Insert slip at exact page; reopen directly.
SAY: When you return, open the intended task directly. The note makes the next start specific.
TEXT: Open the intended page</x:v>
      </x:c>
      <x:c r="I72" s="15" t="str">
        <x:v>26–30s
VISUAL: Close on short slip replacing long note.
SAY: Share this with your tomorrow-study friend.
TEXT: Share the restart note</x:v>
      </x:c>
      <x:c r="J72" s="25" t="n">
        <x:v>65</x:v>
      </x:c>
      <x:c r="K72" s="25" t="n">
        <x:f>J72*60/C72</x:f>
        <x:v>130</x:v>
      </x:c>
    </x:row>
    <x:row r="73" ht="150" customHeight="1">
      <x:c r="A73" s="16" t="str">
        <x:v>AR068</x:v>
      </x:c>
      <x:c r="B73" s="16" t="str">
        <x:v>Undo the plus seven</x:v>
      </x:c>
      <x:c r="C73" s="21" t="n">
        <x:v>30</x:v>
      </x:c>
      <x:c r="D73" s="16" t="str">
        <x:v>Undo seven on both sides. This original equation says x plus seven equals twelve. Subtract seven from both sides. The left becomes x, and the right becomes five, so x equals five. The same operation keeps both sides equal. Check by putting five back into the original equation. Five plus seven equals twelve, so the value fits. Save this equation-and-check method.</x:v>
      </x:c>
      <x:c r="E73" s="24" t="str">
        <x:v>00–03s
VISUAL: Remove seven tokens from both balance trays.
SAY: Undo seven on both sides.
TEXT: BOTH SIDES</x:v>
      </x:c>
      <x:c r="F73" s="16" t="str">
        <x:v>03–07s
VISUAL: Showx+7=12.
SAY: This original equation says x plus seven equals twelve.
TEXT: x + 7 = 12</x:v>
      </x:c>
      <x:c r="G73" s="16" t="str">
        <x:v>07–18s
VISUAL: Write−7 on each side and revealx=5.
SAY: Subtract seven from both sides. The left becomes x, and the right becomes five, so x equals five. The same operation keeps both sides equal.
TEXT: Subtract 7 → x = 5</x:v>
      </x:c>
      <x:c r="H73" s="16" t="str">
        <x:v>18–26s
VISUAL: Substitute5+7=12 on original line.
SAY: Check by putting five back into the original equation. Five plus seven equals twelve, so the value fits.
TEXT: Check: 5 + 7 = 12</x:v>
      </x:c>
      <x:c r="I73" s="16" t="str">
        <x:v>26–30s
VISUAL: Return tokens beside equation.
SAY: Save this equation-and-check method.
TEXT: Save the method</x:v>
      </x:c>
      <x:c r="J73" s="26" t="n">
        <x:v>61</x:v>
      </x:c>
      <x:c r="K73" s="26" t="n">
        <x:f>J73*60/C73</x:f>
        <x:v>122</x:v>
      </x:c>
    </x:row>
    <x:row r="74" ht="150" customHeight="1">
      <x:c r="A74" s="15" t="str">
        <x:v>AR069</x:v>
      </x:c>
      <x:c r="B74" s="15" t="str">
        <x:v>Inspect a real PYQ record</x:v>
      </x:c>
      <x:c r="C74" s="19" t="n">
        <x:v>30</x:v>
      </x:c>
      <x:c r="D74" s="15" t="str">
        <x:v>Keep the paper details with this question. We are opening a genuine sourced record in the current PYQ Bank. Look at the examination name, year, paper, and answer source available for the question shown. Attempt it independently before checking the explanation or linked answer key. Use those details to understand what you are practising. The record on screen should be traceable to its original paper. Open the shown PYQ collection.</x:v>
      </x:c>
      <x:c r="E74" s="23" t="str">
        <x:v>00–03s
VISUAL: Zoom into source line on actual PYQ record.
SAY: Keep the paper details with this question.
TEXT: SOURCE BESIDE QUESTION</x:v>
      </x:c>
      <x:c r="F74" s="15" t="str">
        <x:v>03–08s
VISUAL: Show live bank entry and collection.
SAY: We are opening a genuine sourced record in the current PYQ Bank.
TEXT: Actual PYQ record</x:v>
      </x:c>
      <x:c r="G74" s="15" t="str">
        <x:v>08–18s
VISUAL: Record exam/year/paper/key details beside question.
SAY: Look at the examination name, year, paper, and answer source available for the question shown. Attempt it independently before checking the explanation or linked answer key.
TEXT: Exam • year • paper • key</x:v>
      </x:c>
      <x:c r="H74" s="15" t="str">
        <x:v>18–26s
VISUAL: Creator attempt beside accessible explanation or source key.
SAY: Use those details to understand what you are practising. The record on screen should be traceable to its original paper.
TEXT: Attempt before checking</x:v>
      </x:c>
      <x:c r="I74" s="15" t="str">
        <x:v>26–30s
VISUAL: Return to verified collection entry.
SAY: Open the shown PYQ collection.
TEXT: Open the collection</x:v>
      </x:c>
      <x:c r="J74" s="25" t="n">
        <x:v>70</x:v>
      </x:c>
      <x:c r="K74" s="25" t="n">
        <x:f>J74*60/C74</x:f>
        <x:v>140</x:v>
      </x:c>
    </x:row>
    <x:row r="75" ht="150" customHeight="1">
      <x:c r="A75" s="16" t="str">
        <x:v>AR070</x:v>
      </x:c>
      <x:c r="B75" s="16" t="str">
        <x:v>The GK cards got shuffled</x:v>
      </x:c>
      <x:c r="C75" s="21" t="n">
        <x:v>30</x:v>
      </x:c>
      <x:c r="D75" s="16" t="str">
        <x:v>These labels landed on wrong cards. Rang Ghar and Majuli have lost the matching place clues in this shuffle. Put Sivasagar with Rang Ghar and Brahmaputra with Majuli. One pair connects a monument to its town; the other connects a river island to its river. Read the kind of relationship the question asks for before matching. Familiar names can still belong to different categories. Comment the pair you matched first.</x:v>
      </x:c>
      <x:c r="E75" s="24" t="str">
        <x:v>00–03s
VISUAL: ShuffleSivasagar/Brahmaputra labels under two images.
SAY: These labels landed on wrong cards.
TEXT: FIX THE MATCH</x:v>
      </x:c>
      <x:c r="F75" s="16" t="str">
        <x:v>03–08s
VISUAL: Show incorrect pairings without green answer cue.
SAY: Rang Ghar and Majuli have lost the matching place clues in this shuffle.
TEXT: Rang Ghar • Majuli</x:v>
      </x:c>
      <x:c r="G75" s="16" t="str">
        <x:v>08–18s
VISUAL: Move labels to RangGhar–Sivasagar, Majuli–Brahmaputra.
SAY: Put Sivasagar with Rang Ghar and Brahmaputra with Majuli. One pair connects a monument to its town; the other connects a river island to its river.
TEXT: Sivasagar • Brahmaputra</x:v>
      </x:c>
      <x:c r="H75" s="16" t="str">
        <x:v>18–26s
VISUAL: Add “town” versus “river” relationship labels.
SAY: Read the kind of relationship the question asks for before matching. Familiar names can still belong to different categories.
TEXT: Town or river?</x:v>
      </x:c>
      <x:c r="I75" s="16" t="str">
        <x:v>26–30s
VISUAL: Shuffle again, ending before answer.
SAY: Comment the pair you matched first.
TEXT: Which pair first?</x:v>
      </x:c>
      <x:c r="J75" s="26" t="n">
        <x:v>70</x:v>
      </x:c>
      <x:c r="K75" s="26" t="n">
        <x:f>J75*60/C75</x:f>
        <x:v>140</x:v>
      </x:c>
    </x:row>
    <x:row r="76" ht="150" customHeight="1">
      <x:c r="A76" s="15" t="str">
        <x:v>AR071</x:v>
      </x:c>
      <x:c r="B76" s="15" t="str">
        <x:v>A quarter hour on the clock</x:v>
      </x:c>
      <x:c r="C76" s="19" t="n">
        <x:v>30</x:v>
      </x:c>
      <x:c r="D76" s="15" t="str">
        <x:v>A quarter hour. How many minutes? The clock face gives you a whole hour to divide. One hour contains sixty minutes. Split those minutes into four equal parts, and each part contains fifteen. That is why a quarter hour is fifteen minutes. Now compare it with half an hour, which is thirty minutes. Keep the whole and the fraction labelled on your clock. Comment the minutes before the reveal.</x:v>
      </x:c>
      <x:c r="E76" s="23" t="str">
        <x:v>00–03s
VISUAL: Cover three quadrants of a clock face.
SAY: A quarter hour. How many minutes?
TEXT: A QUARTER HOUR</x:v>
      </x:c>
      <x:c r="F76" s="15" t="str">
        <x:v>03–07s
VISUAL: Show question “¼ hour = ? minutes”.
SAY: The clock face gives you a whole hour to divide.
TEXT: 1 hour = 60 minutes</x:v>
      </x:c>
      <x:c r="G76" s="15" t="str">
        <x:v>07–18s
VISUAL: Write60÷4=15 and reveal one quadrant.
SAY: One hour contains sixty minutes. Split those minutes into four equal parts, and each part contains fifteen. That is why a quarter hour is fifteen minutes.
TEXT: 60 ÷ 4 = 15</x:v>
      </x:c>
      <x:c r="H76" s="15" t="str">
        <x:v>18–26s
VISUAL: Show half-clock30 beside quarter15.
SAY: Now compare it with half an hour, which is thirty minutes. Keep the whole and the fraction labelled on your clock.
TEXT: Half hour = 30</x:v>
      </x:c>
      <x:c r="I76" s="15" t="str">
        <x:v>26–30s
VISUAL: Replace covers for opening loop.
SAY: Comment the minutes before the reveal.
TEXT: How many minutes?</x:v>
      </x:c>
      <x:c r="J76" s="25" t="n">
        <x:v>69</x:v>
      </x:c>
      <x:c r="K76" s="25" t="n">
        <x:f>J76*60/C76</x:f>
        <x:v>138</x:v>
      </x:c>
    </x:row>
    <x:row r="77" ht="150" customHeight="1">
      <x:c r="A77" s="16" t="str">
        <x:v>AR072</x:v>
      </x:c>
      <x:c r="B77" s="16" t="str">
        <x:v>One red token in four</x:v>
      </x:c>
      <x:c r="C77" s="21" t="n">
        <x:v>30</x:v>
      </x:c>
      <x:c r="D77" s="16" t="str">
        <x:v>One red token. Four altogether. This original example chooses one token uniformly at random from this bag. One red and three blue tokens give four equally likely outcomes. The probability of red is one divided by four, or one quarter. Count all possible tokens before writing the denominator. The bag’s colour labels keep the favourable outcome visible. Save this one-out-of-four example.</x:v>
      </x:c>
      <x:c r="E77" s="24" t="str">
        <x:v>00–03s
VISUAL: Drop one red and three blue tokens into clear bag.
SAY: One red token. Four altogether.
TEXT: COUNT ALL FOUR</x:v>
      </x:c>
      <x:c r="F77" s="16" t="str">
        <x:v>03–08s
VISUAL: Show “one random draw” label.
SAY: This original example chooses one token uniformly at random from this bag.
TEXT: 1 red • 3 blue</x:v>
      </x:c>
      <x:c r="G77" s="16" t="str">
        <x:v>08–18s
VISUAL: Count4; shade1/4 probability strip.
SAY: One red and three blue tokens give four equally likely outcomes. The probability of red is one divided by four, or one quarter.
TEXT: P(red) = 1 ÷ 4</x:v>
      </x:c>
      <x:c r="H77" s="16" t="str">
        <x:v>18–26s
VISUAL: Circle1red numerator and4total denominator.
SAY: Count all possible tokens before writing the denominator. The bag’s colour labels keep the favourable outcome visible.
TEXT: One quarter = 25%</x:v>
      </x:c>
      <x:c r="I77" s="16" t="str">
        <x:v>26–30s
VISUAL: Pour tokens out to verify count.
SAY: Save this one-out-of-four example.
TEXT: Save the example</x:v>
      </x:c>
      <x:c r="J77" s="26" t="n">
        <x:v>61</x:v>
      </x:c>
      <x:c r="K77" s="26" t="n">
        <x:f>J77*60/C77</x:f>
        <x:v>122</x:v>
      </x:c>
    </x:row>
    <x:row r="78" ht="150" customHeight="1">
      <x:c r="A78" s="15" t="str">
        <x:v>AR073</x:v>
      </x:c>
      <x:c r="B78" s="15" t="str">
        <x:v>Someone keeps the room quiet</x:v>
      </x:c>
      <x:c r="C78" s="19" t="n">
        <x:v>30</x:v>
      </x:c>
      <x:c r="D78" s="15" t="str">
        <x:v>Someone kept this corner quiet. An ordinary favour gives you room for a short practice attempt. You complete one question while someone handles a small interruption. Check the explanation, write your next task, and thank the person who protected that window. That support gave you time and space for practice. One ordinary favour became a completed attempt. Send this to someone who supports your study.</x:v>
      </x:c>
      <x:c r="E78" s="23" t="str">
        <x:v>00–03s
VISUAL: Hand gently lowers television-volume control.
SAY: Someone kept this corner quiet.
TEXT: A SMALL FAVOUR</x:v>
      </x:c>
      <x:c r="F78" s="15" t="str">
        <x:v>03–08s
VISUAL: Consenting adults agree on a short study window.
SAY: An ordinary favour gives you room for a short practice attempt.
TEXT: A short study window</x:v>
      </x:c>
      <x:c r="G78" s="15" t="str">
        <x:v>08–19s
VISUAL: Creator attempts one original question; second person quietly helps.
SAY: You complete one question while someone handles a small interruption. Check the explanation, write your next task, and thank the person who protected that window.
TEXT: One question attempted</x:v>
      </x:c>
      <x:c r="H78" s="15" t="str">
        <x:v>19–26s
VISUAL: Learner notes next task and offers simple thanks.
SAY: That support gave you time and space for practice. One ordinary favour became a completed attempt.
TEXT: Thank your support person</x:v>
      </x:c>
      <x:c r="I78" s="15" t="str">
        <x:v>26–30s
VISUAL: End with notebook in the same shared room.
SAY: Send this to someone who supports your study.
TEXT: Send them this</x:v>
      </x:c>
      <x:c r="J78" s="25" t="n">
        <x:v>65</x:v>
      </x:c>
      <x:c r="K78" s="25" t="n">
        <x:f>J78*60/C78</x:f>
        <x:v>130</x:v>
      </x:c>
    </x:row>
    <x:row r="79" ht="150" customHeight="1">
      <x:c r="A79" s="16" t="str">
        <x:v>AR074</x:v>
      </x:c>
      <x:c r="B79" s="16" t="str">
        <x:v>Show the available language route</x:v>
      </x:c>
      <x:c r="C79" s="21" t="n">
        <x:v>30</x:v>
      </x:c>
      <x:c r="D79" s="16" t="str">
        <x:v>Choose the language you can follow. This demonstration uses the current Assamese practice option available on AxomRank. Follow the actual route shown on screen and read the question, options, and explanation. Check that the method remains complete in the language version you select. Attempt the displayed question with your own working. Then use the explanation to choose what you want to practise next. Open the shown Assamese practice option.</x:v>
      </x:c>
      <x:c r="E79" s="24" t="str">
        <x:v>00–03s
VISUAL: Reveal actual Assamese question screen in close-up.
SAY: Choose the language you can follow.
TEXT: CHOOSE YOUR LANGUAGE</x:v>
      </x:c>
      <x:c r="F79" s="16" t="str">
        <x:v>03–07s
VISUAL: Record real language route; no invented toggle.
SAY: This demonstration uses the current Assamese practice option available on AxomRank.
TEXT: Real Assamese route</x:v>
      </x:c>
      <x:c r="G79" s="16" t="str">
        <x:v>07–18s
VISUAL: Show full question/options and actual explanation.
SAY: Follow the actual route shown on screen and read the question, options, and explanation. Check that the method remains complete in the language version you select.
TEXT: Question and explanation</x:v>
      </x:c>
      <x:c r="H79" s="16" t="str">
        <x:v>18–26s
VISUAL: Creator writes attempt beside phone.
SAY: Attempt the displayed question with your own working. Then use the explanation to choose what you want to practise next.
TEXT: Attempt with your working</x:v>
      </x:c>
      <x:c r="I79" s="16" t="str">
        <x:v>26–30s
VISUAL: End on verified Assamese set link.
SAY: Open the shown Assamese practice option.
TEXT: Open Assamese practice</x:v>
      </x:c>
      <x:c r="J79" s="26" t="n">
        <x:v>69</x:v>
      </x:c>
      <x:c r="K79" s="26" t="n">
        <x:f>J79*60/C79</x:f>
        <x:v>138</x:v>
      </x:c>
    </x:row>
    <x:row r="80" ht="150" customHeight="1">
      <x:c r="A80" s="15" t="str">
        <x:v>AR075</x:v>
      </x:c>
      <x:c r="B80" s="15" t="str">
        <x:v>Two scores with the same average</x:v>
      </x:c>
      <x:c r="C80" s="19" t="n">
        <x:v>30</x:v>
      </x:c>
      <x:c r="D80" s="15" t="str">
        <x:v>Same average. Different score pairs. This original example compares ten and thirty with nineteen and twenty-one. Both pairs total forty across two values, so both averages are twenty. But one pair has a twenty-point gap, while the other has only two. An average describes one feature of the data. Look at the individual values too before deciding what the result tells you. Share this average question with a friend.</x:v>
      </x:c>
      <x:c r="E80" s="23" t="str">
        <x:v>00–03s
VISUAL: Balance10/30 and19/21 cards on two trays.
SAY: Same average. Different score pairs.
TEXT: SAME AVERAGE?</x:v>
      </x:c>
      <x:c r="F80" s="15" t="str">
        <x:v>03–07s
VISUAL: Display “same average?” before reveal.
SAY: This original example compares ten and thirty with nineteen and twenty-one.
TEXT: 10, 30 • 19, 21</x:v>
      </x:c>
      <x:c r="G80" s="15" t="str">
        <x:v>07–17s
VISUAL: Show40÷2=20 under each.
SAY: Both pairs total forty across two values, so both averages are twenty. But one pair has a twenty-point gap, while the other has only two.
TEXT: Both average 20</x:v>
      </x:c>
      <x:c r="H80" s="15" t="str">
        <x:v>17–26s
VISUAL: Stretch gap markers20versus2.
SAY: An average describes one feature of the data. Look at the individual values too before deciding what the result tells you.
TEXT: Gaps: 20 and 2</x:v>
      </x:c>
      <x:c r="I80" s="15" t="str">
        <x:v>26–30s
VISUAL: End on matched averages with values visible.
SAY: Share this average question with a friend.
TEXT: Share the comparison</x:v>
      </x:c>
      <x:c r="J80" s="25" t="n">
        <x:v>69</x:v>
      </x:c>
      <x:c r="K80" s="25" t="n">
        <x:f>J80*60/C80</x:f>
        <x:v>138</x:v>
      </x:c>
    </x:row>
    <x:row r="81" ht="150" customHeight="1">
      <x:c r="A81" s="16" t="str">
        <x:v>AR076</x:v>
      </x:c>
      <x:c r="B81" s="16" t="str">
        <x:v>Forty out of fifty becomes a percentage</x:v>
      </x:c>
      <x:c r="C81" s="21" t="n">
        <x:v>30</x:v>
      </x:c>
      <x:c r="D81" s="16" t="str">
        <x:v>Forty out of fifty needs conversion. These are invented practice counts: forty correct answers across fifty questions. Divide forty by fifty, then multiply by one hundred to express the share as a percentage. The result is eighty percent. Keep the actual total in the denominator first. This is the share correct in this example. It does not predict selection or rank. Label the quantity. Save this score-percentage calculation.</x:v>
      </x:c>
      <x:c r="E81" s="24" t="str">
        <x:v>00–03s
VISUAL: Place40correct tokens over50total card.
SAY: Forty out of fifty needs conversion.
TEXT: USE THE ACTUAL TOTAL</x:v>
      </x:c>
      <x:c r="F81" s="16" t="str">
        <x:v>03–07s
VISUAL: Show “example counts” label.
SAY: These are invented practice counts: forty correct answers across fifty questions.
TEXT: Example: 40 out of 50</x:v>
      </x:c>
      <x:c r="G81" s="16" t="str">
        <x:v>07–19s
VISUAL: Write40/50×100=80%.
SAY: Divide forty by fifty, then multiply by one hundred to express the share as a percentage. The result is eighty percent. Keep the actual total in the denominator first.
TEXT: 40 ÷ 50 × 100 = 80%</x:v>
      </x:c>
      <x:c r="H81" s="16" t="str">
        <x:v>19–26s
VISUAL: Replace vague score title with “share correct”.
SAY: This is the share correct in this example. It does not predict selection or rank. Label the quantity.
TEXT: Share correct only</x:v>
      </x:c>
      <x:c r="I81" s="16" t="str">
        <x:v>26–30s
VISUAL: End on numerator/denominator labels.
SAY: Save this score-percentage calculation.
TEXT: Save the calculation</x:v>
      </x:c>
      <x:c r="J81" s="26" t="n">
        <x:v>68</x:v>
      </x:c>
      <x:c r="K81" s="26" t="n">
        <x:f>J81*60/C81</x:f>
        <x:v>136</x:v>
      </x:c>
    </x:row>
    <x:row r="82" ht="150" customHeight="1">
      <x:c r="A82" s="15" t="str">
        <x:v>AR077</x:v>
      </x:c>
      <x:c r="B82" s="15" t="str">
        <x:v>The rule card changes</x:v>
      </x:c>
      <x:c r="C82" s="19" t="n">
        <x:v>30</x:v>
      </x:c>
      <x:c r="D82" s="15" t="str">
        <x:v>The rule card changed again. These number cards need the instruction sitting above them. Start with three and add five each time: three, eight, thirteen, eighteen. The next value is twenty-three because we apply the same stated rule once more. If the rule changes, the continuation may change too. Use the instruction provided instead of forcing a pattern from another question. Comment the next number before the reveal.</x:v>
      </x:c>
      <x:c r="E82" s="23" t="str">
        <x:v>00–03s
VISUAL: Flip rule card from blank to “add5”.
SAY: The rule card changed again.
TEXT: READ THE RULE</x:v>
      </x:c>
      <x:c r="F82" s="15" t="str">
        <x:v>03–07s
VISUAL: Arrange3,8,13,18,?.
SAY: These number cards need the instruction sitting above them.
TEXT: Add 5 each time</x:v>
      </x:c>
      <x:c r="G82" s="15" t="str">
        <x:v>07–18s
VISUAL: Draw+5 arrows and reveal23.
SAY: Start with three and add five each time: three, eight, thirteen, eighteen. The next value is twenty-three because we apply the same stated rule once more.
TEXT: 3, 8, 13, 18, ?</x:v>
      </x:c>
      <x:c r="H82" s="15" t="str">
        <x:v>18–26s
VISUAL: Hold a different rule card away from this sequence.
SAY: If the rule changes, the continuation may change too. Use the instruction provided instead of forcing a pattern from another question.
TEXT: Next = 23</x:v>
      </x:c>
      <x:c r="I82" s="15" t="str">
        <x:v>26–30s
VISUAL: Hide23 and return to “add5”.
SAY: Comment the next number before the reveal.
TEXT: Your next number?</x:v>
      </x:c>
      <x:c r="J82" s="25" t="n">
        <x:v>68</x:v>
      </x:c>
      <x:c r="K82" s="25" t="n">
        <x:f>J82*60/C82</x:f>
        <x:v>136</x:v>
      </x:c>
    </x:row>
    <x:row r="83" ht="150" customHeight="1">
      <x:c r="A83" s="16" t="str">
        <x:v>AR078</x:v>
      </x:c>
      <x:c r="B83" s="16" t="str">
        <x:v>The arrow only goes one way</x:v>
      </x:c>
      <x:c r="C83" s="21" t="n">
        <x:v>30</x:v>
      </x:c>
      <x:c r="D83" s="16" t="str">
        <x:v>This arrow only goes one way. All cats are mammals. The statement does not say all mammals are cats. Draw cats inside mammals. A cat belongs to the larger group; a mammal can sit outside the cat group. The reversed statement does not follow. Use the given relationship before choosing a conclusion. Keep the groups visible when you check it. Save this one-way inference diagram.</x:v>
      </x:c>
      <x:c r="E83" s="24" t="str">
        <x:v>00–03s
VISUAL: Draw arrow CAT→MAMMAL; stop reverse arrow.
SAY: This arrow only goes one way.
TEXT: ONE-WAY STATEMENT</x:v>
      </x:c>
      <x:c r="F83" s="16" t="str">
        <x:v>03–08s
VISUAL: Show given statement.
SAY: All cats are mammals. The statement does not say all mammals are cats.
TEXT: All cats are mammals</x:v>
      </x:c>
      <x:c r="G83" s="16" t="str">
        <x:v>08–19s
VISUAL: Draw nested circles with outside-cat mammal region.
SAY: Draw cats inside mammals. A cat belongs to the larger group; a mammal can sit outside the cat group. The reversed statement does not follow.
TEXT: Cats inside mammals</x:v>
      </x:c>
      <x:c r="H83" s="16" t="str">
        <x:v>19–26s
VISUAL: Mark reverse conclusion as not implied.
SAY: Use the given relationship before choosing a conclusion. Keep the groups visible when you check it.
TEXT: Reverse does not follow</x:v>
      </x:c>
      <x:c r="I83" s="16" t="str">
        <x:v>26–30s
VISUAL: Return to one-way arrow.
SAY: Save this one-way inference diagram.
TEXT: Save the diagram</x:v>
      </x:c>
      <x:c r="J83" s="26" t="n">
        <x:v>65</x:v>
      </x:c>
      <x:c r="K83" s="26" t="n">
        <x:f>J83*60/C83</x:f>
        <x:v>130</x:v>
      </x:c>
    </x:row>
    <x:row r="84" ht="150" customHeight="1">
      <x:c r="A84" s="15" t="str">
        <x:v>AR079</x:v>
      </x:c>
      <x:c r="B84" s="15" t="str">
        <x:v>Read the checkout details before choosing</x:v>
      </x:c>
      <x:c r="C84" s="19" t="n">
        <x:v>30</x:v>
      </x:c>
      <x:c r="D84" s="15" t="str">
        <x:v>Read this screen before paying. A current plan should show what you buy and how access works. Check total price, included practice, duration, and the renewal or cancellation terms shown. Compare them with the plan page and ask support about unclear details. Make your choice from the actual terms on screen. Keep the product details visible in the demonstration. Review current access options through the profile link.</x:v>
      </x:c>
      <x:c r="E84" s="23" t="str">
        <x:v>00–03s
VISUAL: Finger pauses above real payment/proceed button.
SAY: Read this screen before paying.
TEXT: READ BEFORE PAYING</x:v>
      </x:c>
      <x:c r="F84" s="15" t="str">
        <x:v>03–08s
VISUAL: Show actual plan details with sensitive fields hidden.
SAY: A current plan should show what you buy and how access works.
TEXT: Current plan details</x:v>
      </x:c>
      <x:c r="G84" s="15" t="str">
        <x:v>08–19s
VISUAL: Highlight actual price/inclusions/duration/terms.
SAY: Check total price, included practice, duration, and the renewal or cancellation terms shown. Compare them with the plan page and ask support about unclear details.
TEXT: Total price and access terms</x:v>
      </x:c>
      <x:c r="H84" s="15" t="str">
        <x:v>19–26s
VISUAL: Open real support route if clarification needed.
SAY: Make your choice from the actual terms on screen. Keep the product details visible in the demonstration.
TEXT: Resolve unclear details</x:v>
      </x:c>
      <x:c r="I84" s="15" t="str">
        <x:v>26–30s
VISUAL: Return to live access-options page without completing payment.
SAY: Review current access options through the profile link.
TEXT: Review access options</x:v>
      </x:c>
      <x:c r="J84" s="25" t="n">
        <x:v>67</x:v>
      </x:c>
      <x:c r="K84" s="25" t="n">
        <x:f>J84*60/C84</x:f>
        <x:v>134</x:v>
      </x:c>
    </x:row>
    <x:row r="85" ht="150" customHeight="1">
      <x:c r="A85" s="16" t="str">
        <x:v>AR080</x:v>
      </x:c>
      <x:c r="B85" s="16" t="str">
        <x:v>A local sign becomes a question</x:v>
      </x:c>
      <x:c r="C85" s="21" t="n">
        <x:v>30</x:v>
      </x:c>
      <x:c r="D85" s="16" t="str">
        <x:v>A familiar sign can start a question. You might pass this place name without knowing its story. Tell us what you want to know about the name or institution. We will choose one question, check an official source, and preserve the spelling. The next lesson will explain a connection we verified. A familiar sign deserves an accurate story. Comment a sign or name to investigate.</x:v>
      </x:c>
      <x:c r="E85" s="24" t="str">
        <x:v>00–03s
VISUAL: Focus-pull from creator notebook to actual place sign.
SAY: A familiar sign can start a question.
TEXT: A FAMILIAR SIGN</x:v>
      </x:c>
      <x:c r="F85" s="16" t="str">
        <x:v>03–08s
VISUAL: Show correct local spelling and location.
SAY: You might pass this place name without knowing its story.
TEXT: Name it accurately</x:v>
      </x:c>
      <x:c r="G85" s="16" t="str">
        <x:v>08–19s
VISUAL: Write a question field with answer left blank.
SAY: Tell us what you want to know about the name or institution. We will choose one question, check an official source, and preserve the spelling.
TEXT: Ask → check → explain</x:v>
      </x:c>
      <x:c r="H85" s="16" t="str">
        <x:v>19–26s
VISUAL: Show source-to-answer workflow diagram.
SAY: The next lesson will explain a connection we verified. A familiar sign deserves an accurate story.
TEXT: One verified connection</x:v>
      </x:c>
      <x:c r="I85" s="16" t="str">
        <x:v>26–30s
VISUAL: Return to sign with viewer suggestion prompt.
SAY: Comment a sign or name to investigate.
TEXT: Which name next?</x:v>
      </x:c>
      <x:c r="J85" s="26" t="n">
        <x:v>65</x:v>
      </x:c>
      <x:c r="K85" s="26" t="n">
        <x:f>J85*60/C85</x:f>
        <x:v>130</x:v>
      </x:c>
    </x:row>
    <x:row r="86" ht="150" customHeight="1">
      <x:c r="A86" s="15" t="str">
        <x:v>AR081</x:v>
      </x:c>
      <x:c r="B86" s="15" t="str">
        <x:v>The notebook margin tells the story</x:v>
      </x:c>
      <x:c r="C86" s="19" t="n">
        <x:v>30</x:v>
      </x:c>
      <x:c r="D86" s="15" t="str">
        <x:v>Look at the notebook margin. The answer looked close, but the margin shows where the method drifted. In this original example, one metre was treated as one centimetre during subtraction. Rewrite one metre as one hundred centimetres, then subtract the fifty centimetres asked for. The answer is fifty centimetres. A unit label makes the missing step visible when you revisit. Share this with your unit-mixing friend.</x:v>
      </x:c>
      <x:c r="E86" s="23" t="str">
        <x:v>00–03s
VISUAL: Macro shot of tiny “units?” note beside wrong working.
SAY: Look at the notebook margin.
TEXT: CHECK THE MARGIN</x:v>
      </x:c>
      <x:c r="F86" s="15" t="str">
        <x:v>03–08s
VISUAL: Pull focus to1m−50cm.
SAY: The answer looked close, but the margin shows where the method drifted.
TEXT: 1 m − 50 cm</x:v>
      </x:c>
      <x:c r="G86" s="15" t="str">
        <x:v>08–19s
VISUAL: Rewrite100cm−50cm.
SAY: In this original example, one metre was treated as one centimetre during subtraction. Rewrite one metre as one hundred centimetres, then subtract the fifty centimetres asked for.
TEXT: 100 cm − 50 cm</x:v>
      </x:c>
      <x:c r="H86" s="15" t="str">
        <x:v>19–26s
VISUAL: Reveal50cm; circle both unit labels.
SAY: The answer is fifty centimetres. A unit label makes the missing step visible when you revisit.
TEXT: Answer = 50 cm</x:v>
      </x:c>
      <x:c r="I86" s="15" t="str">
        <x:v>26–30s
VISUAL: Return macro shot to corrected margin.
SAY: Share this with your unit-mixing friend.
TEXT: Share the unit check</x:v>
      </x:c>
      <x:c r="J86" s="25" t="n">
        <x:v>66</x:v>
      </x:c>
      <x:c r="K86" s="25" t="n">
        <x:f>J86*60/C86</x:f>
        <x:v>132</x:v>
      </x:c>
    </x:row>
    <x:row r="87" ht="150" customHeight="1">
      <x:c r="A87" s="16" t="str">
        <x:v>AR082</x:v>
      </x:c>
      <x:c r="B87" s="16" t="str">
        <x:v>One verb agrees with he</x:v>
      </x:c>
      <x:c r="C87" s="21" t="n">
        <x:v>30</x:v>
      </x:c>
      <x:c r="D87" s="16" t="str">
        <x:v>Which verb fits with he? Choose “He go daily” or “He goes daily” for simple present. In standard English, third-person singular he takes goes here. Compare “They go daily,” where they uses go. Keep the subject beside the verb. The correct sentence is “He goes daily.” Write a similar example using she before checking it. Save this subject-and-verb example.</x:v>
      </x:c>
      <x:c r="E87" s="24" t="str">
        <x:v>00–03s
VISUAL: Move HE card betweenGO andGOES.
SAY: Which verb fits with he?
TEXT: HE GO OR GOES?</x:v>
      </x:c>
      <x:c r="F87" s="16" t="str">
        <x:v>03–08s
VISUAL: Display two candidate sentences.
SAY: Choose “He go daily” or “He goes daily” for simple present.
TEXT: Choose the sentence</x:v>
      </x:c>
      <x:c r="G87" s="16" t="str">
        <x:v>08–19s
VISUAL: PairHE→GOES andTHEY→GO.
SAY: In standard English, third-person singular he takes goes here. Compare “They go daily,” where they uses go. Keep the subject beside the verb.
TEXT: He goes • They go</x:v>
      </x:c>
      <x:c r="H87" s="16" t="str">
        <x:v>19–26s
VISUAL: Reveal“He goes daily”; blankSHEsentence beside it.
SAY: The correct sentence is “He goes daily.” Write a similar example using she before checking it.
TEXT: He goes daily</x:v>
      </x:c>
      <x:c r="I87" s="16" t="str">
        <x:v>26–30s
VISUAL: ReturnHEcard to choice position.
SAY: Save this subject-and-verb example.
TEXT: Save the example</x:v>
      </x:c>
      <x:c r="J87" s="26" t="n">
        <x:v>59</x:v>
      </x:c>
      <x:c r="K87" s="26" t="n">
        <x:f>J87*60/C87</x:f>
        <x:v>118</x:v>
      </x:c>
    </x:row>
    <x:row r="88" ht="150" customHeight="1">
      <x:c r="A88" s="15" t="str">
        <x:v>AR083</x:v>
      </x:c>
      <x:c r="B88" s="15" t="str">
        <x:v>Guess what is under the rectangle</x:v>
      </x:c>
      <x:c r="C88" s="19" t="n">
        <x:v>30</x:v>
      </x:c>
      <x:c r="D88" s="15" t="str">
        <x:v>Inside or around? Choose first. The card hides a rectangle four centimetres long and three centimetres wide. If the question asks how much surface it covers, calculate four times three: twelve square centimetres. If it asks the boundary length, add every side: fourteen centimetres. The picture stays the same while the requested quantity changes. Point to the wording before you choose a number. Comment “inside” or “around” with your answer.</x:v>
      </x:c>
      <x:c r="E88" s="23" t="str">
        <x:v>00–03s
VISUAL: Lift card edge to reveal part of rectangle.
SAY: Inside or around? Choose first.
TEXT: INSIDE OR AROUND?</x:v>
      </x:c>
      <x:c r="F88" s="15" t="str">
        <x:v>03–08s
VISUAL: Show4cm/3cm labels and two wording cards.
SAY: The card hides a rectangle four centimetres long and three centimetres wide.
TEXT: Same rectangle</x:v>
      </x:c>
      <x:c r="G88" s="15" t="str">
        <x:v>08–19s
VISUAL: Reveal shaded12cm² and boundary14cm.
SAY: If the question asks how much surface it covers, calculate four times three: twelve square centimetres. If it asks the boundary length, add every side: fourteen centimetres.
TEXT: Area 12 cm² • perimeter 14 cm</x:v>
      </x:c>
      <x:c r="H88" s="15" t="str">
        <x:v>19–26s
VISUAL: Switch wording cards over same rectangle.
SAY: The picture stays the same while the requested quantity changes. Point to the wording before you choose a number.
TEXT: Read the requested quantity</x:v>
      </x:c>
      <x:c r="I88" s="15" t="str">
        <x:v>26–30s
VISUAL: Lower cover to first-frame position.
SAY: Comment “inside” or “around” with your answer.
TEXT: Comment your choice</x:v>
      </x:c>
      <x:c r="J88" s="25" t="n">
        <x:v>70</x:v>
      </x:c>
      <x:c r="K88" s="25" t="n">
        <x:f>J88*60/C88</x:f>
        <x:v>140</x:v>
      </x:c>
    </x:row>
    <x:row r="89" ht="150" customHeight="1">
      <x:c r="A89" s="16" t="str">
        <x:v>AR084</x:v>
      </x:c>
      <x:c r="B89" s="16" t="str">
        <x:v>The route when a learner gets stuck</x:v>
      </x:c>
      <x:c r="C89" s="21" t="n">
        <x:v>30</x:v>
      </x:c>
      <x:c r="D89" s="16" t="str">
        <x:v>Here is the route when access fails. Note the exact step if the practice page does not open. Use the verified support route. Name the set and what the page displayed, keeping passwords and payment details out of the message. A specific report helps identify the issue. Follow the actual reply before trying the task again. Open the shown support route.</x:v>
      </x:c>
      <x:c r="E89" s="24" t="str">
        <x:v>00–03s
VISUAL: Show labelled demonstration of a generic failed step.
SAY: Here is the route when access fails.
TEXT: STUCK AT A STEP?</x:v>
      </x:c>
      <x:c r="F89" s="16" t="str">
        <x:v>03–08s
VISUAL: Write set name and step in draft support message.
SAY: Note the exact step if the practice page does not open.
TEXT: Name the set and step</x:v>
      </x:c>
      <x:c r="G89" s="16" t="str">
        <x:v>08–18s
VISUAL: Navigate actual support route; redact personal data.
SAY: Use the verified support route. Name the set and what the page displayed, keeping passwords and payment details out of the message.
TEXT: Use verified support</x:v>
      </x:c>
      <x:c r="H89" s="16" t="str">
        <x:v>18–26s
VISUAL: Show useful problem-report template, no invented reply.
SAY: A specific report helps identify the issue. Follow the actual reply before trying the task again.
TEXT: Keep private details out</x:v>
      </x:c>
      <x:c r="I89" s="16" t="str">
        <x:v>26–30s
VISUAL: End on verified support destination.
SAY: Open the shown support route.
TEXT: Open support route</x:v>
      </x:c>
      <x:c r="J89" s="26" t="n">
        <x:v>61</x:v>
      </x:c>
      <x:c r="K89" s="26" t="n">
        <x:f>J89*60/C89</x:f>
        <x:v>122</x:v>
      </x:c>
    </x:row>
    <x:row r="90" ht="150" customHeight="1">
      <x:c r="A90" s="15" t="str">
        <x:v>AR085</x:v>
      </x:c>
      <x:c r="B90" s="15" t="str">
        <x:v>The friend explains a correction</x:v>
      </x:c>
      <x:c r="C90" s="19" t="n">
        <x:v>30</x:v>
      </x:c>
      <x:c r="D90" s="15" t="str">
        <x:v>Show the step you changed. Two practice partners bring their corrected workings to the table. One corrected a percentage base; the other counted all five ratio parts. Each explains the correction, then independently attempts a new question from the partner. Both leave with a method to check. Keep new answers hidden until each person attempts. Send this to your review partner.</x:v>
      </x:c>
      <x:c r="E90" s="23" t="str">
        <x:v>00–03s
VISUAL: Two hands swap corrected notebook pages.
SAY: Show the step you changed.
TEXT: SHOW THE CORRECTION</x:v>
      </x:c>
      <x:c r="F90" s="15" t="str">
        <x:v>03–08s
VISUAL: Show labelled percentage and ratio errors.
SAY: Two practice partners bring their corrected workings to the table.
TEXT: Two different mistakes</x:v>
      </x:c>
      <x:c r="G90" s="15" t="str">
        <x:v>08–19s
VISUAL: Both explain highlighted step, then swap new question cards.
SAY: One corrected a percentage base; the other counted all five ratio parts. Each explains the correction, then independently attempts a new question from the partner.
TEXT: Explain the changed step</x:v>
      </x:c>
      <x:c r="H90" s="15" t="str">
        <x:v>19–26s
VISUAL: Split-screen independent attempts.
SAY: Both leave with a method to check. Keep new answers hidden until each person attempts.
TEXT: Attempt the new question</x:v>
      </x:c>
      <x:c r="I90" s="15" t="str">
        <x:v>26–30s
VISUAL: Return to corrected pages and partner prompt.
SAY: Send this to your review partner.
TEXT: Send to your partner</x:v>
      </x:c>
      <x:c r="J90" s="25" t="n">
        <x:v>61</x:v>
      </x:c>
      <x:c r="K90" s="25" t="n">
        <x:f>J90*60/C90</x:f>
        <x:v>122</x:v>
      </x:c>
    </x:row>
    <x:row r="91" ht="150" customHeight="1">
      <x:c r="A91" s="16" t="str">
        <x:v>AR086</x:v>
      </x:c>
      <x:c r="B91" s="16" t="str">
        <x:v>Publish a correction people can find</x:v>
      </x:c>
      <x:c r="C91" s="21" t="n">
        <x:v>30</x:v>
      </x:c>
      <x:c r="D91" s="16" t="str">
        <x:v>Keep the correction visible. This labelled demonstration shows an answer option changing from twenty to thirty. Verify fifteen percent of two hundred equals thirty. Fix the answer label, add a correction note, and update matching captions or copies that repeat the error. Keep the corrected version easy to find. A learner revisiting the post should understand exactly which answer to use. Save this correction workflow.</x:v>
      </x:c>
      <x:c r="E91" s="24" t="str">
        <x:v>00–03s
VISUAL: Pin correction note beside sample question.
SAY: Keep the correction visible.
TEXT: VISIBLE CORRECTION</x:v>
      </x:c>
      <x:c r="F91" s="16" t="str">
        <x:v>03–08s
VISUAL: Show sample before/after answer label.
SAY: This labelled demonstration shows an answer option changing from twenty to thirty.
TEXT: Demonstration only</x:v>
      </x:c>
      <x:c r="G91" s="16" t="str">
        <x:v>08–18s
VISUAL: Verify15/100×200=30 and fix option.
SAY: Verify fifteen percent of two hundred equals thirty. Fix the answer label, add a correction note, and update matching captions or copies that repeat the error.
TEXT: Correct answer: 30</x:v>
      </x:c>
      <x:c r="H91" s="16" t="str">
        <x:v>18–26s
VISUAL: Update demonstration caption to same answer.
SAY: Keep the corrected version easy to find. A learner revisiting the post should understand exactly which answer to use.
TEXT: Update repeated answer text</x:v>
      </x:c>
      <x:c r="I91" s="16" t="str">
        <x:v>26–30s
VISUAL: Show finished card and correction note together.
SAY: Save this correction workflow.
TEXT: Save the workflow</x:v>
      </x:c>
      <x:c r="J91" s="26" t="n">
        <x:v>65</x:v>
      </x:c>
      <x:c r="K91" s="26" t="n">
        <x:f>J91*60/C91</x:f>
        <x:v>130</x:v>
      </x:c>
    </x:row>
    <x:row r="92" ht="150" customHeight="1">
      <x:c r="A92" s="15" t="str">
        <x:v>AR087</x:v>
      </x:c>
      <x:c r="B92" s="15" t="str">
        <x:v>The creator catches their own typo</x:v>
      </x:c>
      <x:c r="C92" s="19" t="n">
        <x:v>30</x:v>
      </x:c>
      <x:c r="D92" s="15" t="str">
        <x:v>This option needs a correction. This labelled sample demonstrates how AxomRank should handle an error. The working says fifteen percent of two hundred equals thirty, but the sample answer label points to twenty. Change the label and show exactly what was corrected. Align the answer and explanation, then show the correction wherever the sample appeared. Students need the corrected version. Save this answer-check reminder.</x:v>
      </x:c>
      <x:c r="E92" s="23" t="str">
        <x:v>00–03s
VISUAL: Red circle lands on deliberately wrong sample answer label.
SAY: This option needs a correction.
TEXT: CHECK THIS LABEL</x:v>
      </x:c>
      <x:c r="F92" s="15" t="str">
        <x:v>03–07s
VISUAL: Show prominent “correction demonstration” label.
SAY: This labelled sample demonstrates how AxomRank should handle an error.
TEXT: Correction demonstration</x:v>
      </x:c>
      <x:c r="G92" s="15" t="str">
        <x:v>07–18s
VISUAL: Correct option to30 while retaining working.
SAY: The working says fifteen percent of two hundred equals thirty, but the sample answer label points to twenty. Change the label and show exactly what was corrected.
TEXT: 15% of 200 = 30</x:v>
      </x:c>
      <x:c r="H92" s="15" t="str">
        <x:v>18–26s
VISUAL: Display before/after and clear correction sentence.
SAY: Align the answer and explanation, then show the correction wherever the sample appeared. Students need the corrected version.
TEXT: Answer and working agree</x:v>
      </x:c>
      <x:c r="I92" s="15" t="str">
        <x:v>26–30s
VISUAL: End on correct card and answer-check prompt.
SAY: Save this answer-check reminder.
TEXT: Save the reminder</x:v>
      </x:c>
      <x:c r="J92" s="25" t="n">
        <x:v>64</x:v>
      </x:c>
      <x:c r="K92" s="25" t="n">
        <x:f>J92*60/C92</x:f>
        <x:v>128</x:v>
      </x:c>
    </x:row>
    <x:row r="93" ht="150" customHeight="1">
      <x:c r="A93" s="16" t="str">
        <x:v>AR088</x:v>
      </x:c>
      <x:c r="B93" s="16" t="str">
        <x:v>A mixed set with three different checks</x:v>
      </x:c>
      <x:c r="C93" s="21" t="n">
        <x:v>30</x:v>
      </x:c>
      <x:c r="D93" s="16" t="str">
        <x:v>Three questions. Three different checks. Pause for three attempts: a fraction, an equation, and a percentage. Find a quarter of eighty, solve x plus seven equals twelve, and convert forty out of fifty to a percentage. Answers: twenty, five, eighty percent. Check equal parts, substitute five, and use fifty as the denominator. Choose the method you missed. Choose your next practice topic.</x:v>
      </x:c>
      <x:c r="E93" s="24" t="str">
        <x:v>00–03s
VISUAL: Lay fraction/equation/percentage cards face down.
SAY: Three questions. Three different checks.
TEXT: THREE DIFFERENT CHECKS</x:v>
      </x:c>
      <x:c r="F93" s="16" t="str">
        <x:v>03–08s
VISUAL: Flip questions; display pause-to-attempt prompt.
SAY: Pause for three attempts: a fraction, an equation, and a percentage.
TEXT: Pause to attempt</x:v>
      </x:c>
      <x:c r="G93" s="16" t="str">
        <x:v>08–19s
VISUAL: Reveal answers with three compact checks.
SAY: Find a quarter of eighty, solve x plus seven equals twelve, and convert forty out of fifty to a percentage. Answers: twenty, five, eighty percent.
TEXT: 20 • 5 • 80%</x:v>
      </x:c>
      <x:c r="H93" s="16" t="str">
        <x:v>19–26s
VISUAL: Creator marks one missed check and topic.
SAY: Check equal parts, substitute five, and use fifty as the denominator. Choose the method you missed.
TEXT: Parts • substitution • base</x:v>
      </x:c>
      <x:c r="I93" s="16" t="str">
        <x:v>26–30s
VISUAL: Move selected topic card to next page.
SAY: Choose your next practice topic.
TEXT: Choose the next topic</x:v>
      </x:c>
      <x:c r="J93" s="26" t="n">
        <x:v>62</x:v>
      </x:c>
      <x:c r="K93" s="26" t="n">
        <x:f>J93*60/C93</x:f>
        <x:v>124</x:v>
      </x:c>
    </x:row>
    <x:row r="94" ht="150" customHeight="1">
      <x:c r="A94" s="15" t="str">
        <x:v>AR089</x:v>
      </x:c>
      <x:c r="B94" s="15" t="str">
        <x:v>Choose tonight’s available practice</x:v>
      </x:c>
      <x:c r="C94" s="19" t="n">
        <x:v>30</x:v>
      </x:c>
      <x:c r="D94" s="15" t="str">
        <x:v>Choose tonight’s practice from this screen. Begin with an available mock or focused topic set. Open the profile link. Read the access and task instructions, then choose what fits your time. Attempt first and keep one question for review. Use your review to choose the next topic. The screen shows a current route from watching to practising. Open the profile link and choose your task.</x:v>
      </x:c>
      <x:c r="E94" s="23" t="str">
        <x:v>00–03s
VISUAL: Show real mock/topic-set entry choices on phone.
SAY: Choose tonight’s practice from this screen.
TEXT: CHOOSE TONIGHT’S TASK</x:v>
      </x:c>
      <x:c r="F94" s="15" t="str">
        <x:v>03–07s
VISUAL: Place real available-time note beside screen.
SAY: Begin with an available mock or focused topic set.
TEXT: Available mock or topic set</x:v>
      </x:c>
      <x:c r="G94" s="15" t="str">
        <x:v>07–18s
VISUAL: Record actual selection and instructions without invented features.
SAY: Open the profile link. Read the access and task instructions, then choose what fits your time. Attempt first and keep one question for review.
TEXT: Read access and instructions</x:v>
      </x:c>
      <x:c r="H94" s="15" t="str">
        <x:v>18–26s
VISUAL: Attempt question and mark review task in notebook.
SAY: Use your review to choose the next topic. The screen shows a current route from watching to practising.
TEXT: Attempt, then review</x:v>
      </x:c>
      <x:c r="I94" s="15" t="str">
        <x:v>26–30s
VISUAL: Freeze on working profile practice link.
SAY: Open the profile link and choose your task.
TEXT: Start through profile link</x:v>
      </x:c>
      <x:c r="J94" s="25" t="n">
        <x:v>65</x:v>
      </x:c>
      <x:c r="K94" s="25" t="n">
        <x:f>J94*60/C94</x:f>
        <x:v>130</x:v>
      </x:c>
    </x:row>
    <x:row r="95" ht="150" customHeight="1">
      <x:c r="A95" s="16" t="str">
        <x:v>AR090</x:v>
      </x:c>
      <x:c r="B95" s="16" t="str">
        <x:v>One new question after the series</x:v>
      </x:c>
      <x:c r="C95" s="21" t="n">
        <x:v>30</x:v>
      </x:c>
      <x:c r="D95" s="16" t="str">
        <x:v>The next question is already waiting. Familiar study moments can lead to a clear practice task. Try this original question: twenty-five percent of one hundred twenty. A quarter of one hundred twenty is thirty. Keep your working before the reveal. Our next series can begin with a topic you want explained. Bring a specific question. Comment your next topic request.</x:v>
      </x:c>
      <x:c r="E95" s="24" t="str">
        <x:v>00–03s
VISUAL: Turn final-series page to reveal fresh question.
SAY: The next question is already waiting.
TEXT: ONE MORE ATTEMPT</x:v>
      </x:c>
      <x:c r="F95" s="16" t="str">
        <x:v>03–08s
VISUAL: Brief montage of desk, cards and notebook.
SAY: Familiar study moments can lead to a clear practice task.
TEXT: 25% of 120</x:v>
      </x:c>
      <x:c r="G95" s="16" t="str">
        <x:v>08–19s
VISUAL: Show25%of120 with pause; reveal120÷4=30.
SAY: Try this original question: twenty-five percent of one hundred twenty. A quarter of one hundred twenty is thirty. Keep your working before the reveal.
TEXT: 120 ÷ 4 = 30</x:v>
      </x:c>
      <x:c r="H95" s="16" t="str">
        <x:v>19–26s
VISUAL: Put viewer-request box beside new page.
SAY: Our next series can begin with a topic you want explained. Bring a specific question.
TEXT: What should come next?</x:v>
      </x:c>
      <x:c r="I95" s="16" t="str">
        <x:v>26–30s
VISUAL: End on an unanswered next-topic card.
SAY: Comment your next topic request.
TEXT: Comment a topic</x:v>
      </x:c>
      <x:c r="J95" s="26" t="n">
        <x:v>60</x:v>
      </x:c>
      <x:c r="K95" s="26" t="n">
        <x:f>J95*60/C95</x:f>
        <x:v>120</x:v>
      </x:c>
    </x:row>
  </x:sheetData>
  <x:pageMargins left="0.7" right="0.7" top="0.75" bottom="0.75" header="0.3" footer="0.3"/>
  <x:tableParts count="1">
    <x:tablePart xmlns:r="http://schemas.openxmlformats.org/officeDocument/2006/relationships" r:id="Re5f0e7a679984d6f"/>
  </x:tableParts>
</x:worksheet>
</file>

<file path=xl/worksheets/sheet3.xml><?xml version="1.0" encoding="utf-8"?>
<x:worksheet xmlns:x="http://schemas.openxmlformats.org/spreadsheetml/2006/main">
  <x:sheetPr>
    <x:tabColor rgb="FFAD8B79"/>
  </x:sheetPr>
  <x:sheetViews>
    <x:sheetView showGridLines="0" workbookViewId="0"/>
  </x:sheetViews>
  <x:sheetFormatPr defaultRowHeight="15"/>
  <x:cols>
    <x:col min="1" max="1" width="27.780000686645508" hidden="0" customWidth="1"/>
    <x:col min="2" max="2" width="88.88999938964844" hidden="0" customWidth="1"/>
    <x:col min="3" max="3" width="11.109999656677246" hidden="0" customWidth="1"/>
    <x:col min="4" max="4" width="18.889999389648438" hidden="0" customWidth="1"/>
  </x:cols>
  <x:sheetData>
    <x:row r="1">
      <x:c r="A1" s="3"/>
      <x:c r="B1" s="3"/>
      <x:c r="C1" s="3"/>
      <x:c r="D1" s="3"/>
    </x:row>
    <x:row r="2" ht="28" customHeight="1">
      <x:c r="A2" s="5" t="str">
        <x:v>AxomRank Reel Sequence and Funnel Mix</x:v>
      </x:c>
      <x:c r="B2" s="3"/>
      <x:c r="C2" s="3"/>
      <x:c r="D2" s="3"/>
    </x:row>
    <x:row r="3" ht="30" customHeight="1">
      <x:c r="A3" s="7" t="str">
        <x:v>90 ideas and written scripts • three chapters • English narration drafts • no publication dates assigned</x:v>
      </x:c>
      <x:c r="B3" s="3"/>
      <x:c r="C3" s="3"/>
      <x:c r="D3" s="3"/>
    </x:row>
    <x:row r="4">
      <x:c r="A4" s="3"/>
      <x:c r="B4" s="3"/>
      <x:c r="C4" s="3"/>
      <x:c r="D4" s="3"/>
    </x:row>
    <x:row r="5" ht="32" customHeight="1">
      <x:c r="A5" s="11" t="str">
        <x:v>Funnel</x:v>
      </x:c>
      <x:c r="B5" s="11" t="str">
        <x:v>Purpose</x:v>
      </x:c>
      <x:c r="C5" s="11" t="str">
        <x:v>Reels</x:v>
      </x:c>
      <x:c r="D5" s="11" t="str">
        <x:v>Share</x:v>
      </x:c>
    </x:row>
    <x:row r="6" ht="30" customHeight="1">
      <x:c r="A6" s="3" t="str">
        <x:v>TOFU</x:v>
      </x:c>
      <x:c r="B6" s="3" t="str">
        <x:v>Recognition, discovery and approachable participation</x:v>
      </x:c>
      <x:c r="C6" s="30" t="n">
        <x:f>COUNTIFS('Reel Plan'!$D$6:$D$95,A6)</x:f>
        <x:v>45</x:v>
      </x:c>
      <x:c r="D6" s="31" t="n">
        <x:f>C6/$C$9</x:f>
        <x:v>0.5</x:v>
      </x:c>
    </x:row>
    <x:row r="7" ht="30" customHeight="1">
      <x:c r="A7" s="3" t="str">
        <x:v>MOFU</x:v>
      </x:c>
      <x:c r="B7" s="3" t="str">
        <x:v>Evaluate teaching through methods, explanations and review</x:v>
      </x:c>
      <x:c r="C7" s="30" t="n">
        <x:f>COUNTIFS('Reel Plan'!$D$6:$D$95,A7)</x:f>
        <x:v>27</x:v>
      </x:c>
      <x:c r="D7" s="31" t="n">
        <x:f>C7/$C$9</x:f>
        <x:v>0.3</x:v>
      </x:c>
    </x:row>
    <x:row r="8" ht="30" customHeight="1">
      <x:c r="A8" s="3" t="str">
        <x:v>BOFU</x:v>
      </x:c>
      <x:c r="B8" s="3" t="str">
        <x:v>Start a real product task, inspect access or make a relevant enquiry</x:v>
      </x:c>
      <x:c r="C8" s="30" t="n">
        <x:f>COUNTIFS('Reel Plan'!$D$6:$D$95,A8)</x:f>
        <x:v>18</x:v>
      </x:c>
      <x:c r="D8" s="31" t="n">
        <x:f>C8/$C$9</x:f>
        <x:v>0.2</x:v>
      </x:c>
    </x:row>
    <x:row r="9" ht="30" customHeight="1">
      <x:c r="A9" s="29" t="str">
        <x:v>Total</x:v>
      </x:c>
      <x:c r="B9" s="29" t="str">
        <x:v>All planned Reels</x:v>
      </x:c>
      <x:c r="C9" s="32" t="n">
        <x:f>SUM(C6:C8)</x:f>
        <x:v>90</x:v>
      </x:c>
      <x:c r="D9" s="33" t="n">
        <x:f>C9/$C$9</x:f>
        <x:v>1</x:v>
      </x:c>
    </x:row>
    <x:row r="10">
      <x:c r="A10" s="3"/>
      <x:c r="B10" s="3"/>
      <x:c r="C10" s="3"/>
      <x:c r="D10" s="3"/>
    </x:row>
    <x:row r="11">
      <x:c r="A11" s="3"/>
      <x:c r="B11" s="3"/>
      <x:c r="C11" s="3"/>
      <x:c r="D11" s="3"/>
    </x:row>
    <x:row r="12" ht="32" customHeight="1">
      <x:c r="A12" s="11" t="str">
        <x:v>Chapter</x:v>
      </x:c>
      <x:c r="B12" s="11" t="str">
        <x:v>Progression</x:v>
      </x:c>
      <x:c r="C12" s="11" t="str">
        <x:v>Reels</x:v>
      </x:c>
      <x:c r="D12" s="11" t="str">
        <x:v>Sequence</x:v>
      </x:c>
    </x:row>
    <x:row r="13" ht="30" customHeight="1">
      <x:c r="A13" s="3" t="n">
        <x:v>1</x:v>
      </x:c>
      <x:c r="B13" s="3" t="str">
        <x:v>Introduce AxomRank</x:v>
      </x:c>
      <x:c r="C13" s="3" t="n">
        <x:v>30</x:v>
      </x:c>
      <x:c r="D13" s="3" t="str">
        <x:v>1–30</x:v>
      </x:c>
    </x:row>
    <x:row r="14" ht="30" customHeight="1">
      <x:c r="A14" s="3" t="n">
        <x:v>2</x:v>
      </x:c>
      <x:c r="B14" s="3" t="str">
        <x:v>Build participation</x:v>
      </x:c>
      <x:c r="C14" s="3" t="n">
        <x:v>30</x:v>
      </x:c>
      <x:c r="D14" s="3" t="str">
        <x:v>31–60</x:v>
      </x:c>
    </x:row>
    <x:row r="15" ht="30" customHeight="1">
      <x:c r="A15" s="3" t="n">
        <x:v>3</x:v>
      </x:c>
      <x:c r="B15" s="3" t="str">
        <x:v>Return to practice</x:v>
      </x:c>
      <x:c r="C15" s="3" t="n">
        <x:v>30</x:v>
      </x:c>
      <x:c r="D15" s="3" t="str">
        <x:v>61–90</x:v>
      </x:c>
    </x:row>
    <x:row r="16">
      <x:c r="A16" s="3"/>
      <x:c r="B16" s="3"/>
      <x:c r="C16" s="3"/>
      <x:c r="D16" s="3"/>
    </x:row>
    <x:row r="17">
      <x:c r="A17" s="3"/>
      <x:c r="B17" s="3"/>
      <x:c r="C17" s="3"/>
      <x:c r="D17" s="3"/>
    </x:row>
    <x:row r="18" ht="32" customHeight="1">
      <x:c r="A18" s="11" t="str">
        <x:v>Each chapter</x:v>
      </x:c>
      <x:c r="B18" s="11" t="str">
        <x:v>TOFU</x:v>
      </x:c>
      <x:c r="C18" s="11" t="str">
        <x:v>MOFU</x:v>
      </x:c>
      <x:c r="D18" s="11" t="str">
        <x:v>BOFU</x:v>
      </x:c>
    </x:row>
    <x:row r="19" ht="28" customHeight="1">
      <x:c r="A19" s="3" t="n">
        <x:v>1</x:v>
      </x:c>
      <x:c r="B19" s="3" t="n">
        <x:f>COUNTIFS('Reel Plan'!$C$6:$C$95,$A19,'Reel Plan'!$D$6:$D$95,B$18)</x:f>
        <x:v>15</x:v>
      </x:c>
      <x:c r="C19" s="3" t="n">
        <x:f>COUNTIFS('Reel Plan'!$C$6:$C$95,$A19,'Reel Plan'!$D$6:$D$95,C$18)</x:f>
        <x:v>9</x:v>
      </x:c>
      <x:c r="D19" s="3" t="n">
        <x:f>COUNTIFS('Reel Plan'!$C$6:$C$95,$A19,'Reel Plan'!$D$6:$D$95,D$18)</x:f>
        <x:v>6</x:v>
      </x:c>
    </x:row>
    <x:row r="20" ht="28" customHeight="1">
      <x:c r="A20" s="3" t="n">
        <x:v>2</x:v>
      </x:c>
      <x:c r="B20" s="3" t="n">
        <x:f>COUNTIFS('Reel Plan'!$C$6:$C$95,$A20,'Reel Plan'!$D$6:$D$95,B$18)</x:f>
        <x:v>15</x:v>
      </x:c>
      <x:c r="C20" s="3" t="n">
        <x:f>COUNTIFS('Reel Plan'!$C$6:$C$95,$A20,'Reel Plan'!$D$6:$D$95,C$18)</x:f>
        <x:v>9</x:v>
      </x:c>
      <x:c r="D20" s="3" t="n">
        <x:f>COUNTIFS('Reel Plan'!$C$6:$C$95,$A20,'Reel Plan'!$D$6:$D$95,D$18)</x:f>
        <x:v>6</x:v>
      </x:c>
    </x:row>
    <x:row r="21" ht="28" customHeight="1">
      <x:c r="A21" s="3" t="n">
        <x:v>3</x:v>
      </x:c>
      <x:c r="B21" s="3" t="n">
        <x:f>COUNTIFS('Reel Plan'!$C$6:$C$95,$A21,'Reel Plan'!$D$6:$D$95,B$18)</x:f>
        <x:v>15</x:v>
      </x:c>
      <x:c r="C21" s="3" t="n">
        <x:f>COUNTIFS('Reel Plan'!$C$6:$C$95,$A21,'Reel Plan'!$D$6:$D$95,C$18)</x:f>
        <x:v>9</x:v>
      </x:c>
      <x:c r="D21" s="3" t="n">
        <x:f>COUNTIFS('Reel Plan'!$C$6:$C$95,$A21,'Reel Plan'!$D$6:$D$95,D$18)</x:f>
        <x:v>6</x:v>
      </x:c>
    </x:row>
    <x:row r="22">
      <x:c r="A22" s="3"/>
      <x:c r="B22" s="3"/>
      <x:c r="C22" s="3"/>
      <x:c r="D22" s="3"/>
    </x:row>
    <x:row r="23">
      <x:c r="A23" s="3"/>
      <x:c r="B23" s="3"/>
      <x:c r="C23" s="3"/>
      <x:c r="D23" s="3"/>
    </x:row>
    <x:row r="24" ht="46" customHeight="1">
      <x:c r="A24" s="29" t="str">
        <x:v>Posting order</x:v>
      </x:c>
      <x:c r="B24" s="3" t="str">
        <x:v>Use the Order column as a sequence, not an obligation to publish daily. Each 10-Reel block contains 5 TOFU, 3 MOFU and 2 BOFU.</x:v>
      </x:c>
      <x:c r="C24" s="3"/>
      <x:c r="D24" s="3"/>
    </x:row>
    <x:row r="25" ht="46" customHeight="1">
      <x:c r="A25" s="29" t="str">
        <x:v>Recording target</x:v>
      </x:c>
      <x:c r="B25" s="3" t="str">
        <x:v>All storyboards total 30 seconds. Voiceovers contain 59–70 words, targeting 118–140 words per minute over the full Reel. Rehearse once; let visuals fill remaining time.</x:v>
      </x:c>
      <x:c r="C25" s="3"/>
      <x:c r="D25" s="3"/>
    </x:row>
    <x:row r="26" ht="46" customHeight="1">
      <x:c r="A26" s="29" t="str">
        <x:v>Timed beats</x:v>
      </x:c>
      <x:c r="B26" s="3" t="str">
        <x:v>The hook stays at 0–3 seconds and the CTA at 26–30 seconds. Middle beat durations vary with script length. Time labels appear in each shot cell.</x:v>
      </x:c>
      <x:c r="C26" s="3"/>
      <x:c r="D26" s="3"/>
    </x:row>
    <x:row r="27" ht="46" customHeight="1">
      <x:c r="A27" s="29" t="str">
        <x:v>Alternate hooks</x:v>
      </x:c>
      <x:c r="B27" s="3" t="str">
        <x:v>The alternate verbal hook is a replacement for the first line, not an extra line. The timed script uses the primary hook. Rehearse again after substituting.</x:v>
      </x:c>
      <x:c r="C27" s="3"/>
      <x:c r="D27" s="3"/>
    </x:row>
    <x:row r="28" ht="46" customHeight="1">
      <x:c r="A28" s="29" t="str">
        <x:v>Quiz pauses</x:v>
      </x:c>
      <x:c r="B28" s="3" t="str">
        <x:v>Single-question beats allow a brief reveal hold. Multi-question Reels explicitly ask viewers to pause the Reel to attempt the set.</x:v>
      </x:c>
      <x:c r="C28" s="3"/>
      <x:c r="D28" s="3"/>
    </x:row>
    <x:row r="29" ht="46" customHeight="1">
      <x:c r="A29" s="29" t="str">
        <x:v>Language</x:v>
      </x:c>
      <x:c r="B29" s="3" t="str">
        <x:v>Scripts are in English. For Assamese delivery, translate the whole narration and screen text, preserve the working, and have a fluent reader check the wording and final typography.</x:v>
      </x:c>
      <x:c r="C29" s="3"/>
      <x:c r="D29" s="3"/>
    </x:row>
    <x:row r="30" ht="46" customHeight="1">
      <x:c r="A30" s="29" t="str">
        <x:v>Visual identity</x:v>
      </x:c>
      <x:c r="B30" s="3" t="str">
        <x:v>Use 9:16 framing, maroon #80151A, charcoal #292929 and ivory #F7F2EC. Keep important text clear of Instagram interface overlays. Start on the hook action, then use a small Rang Ghar mark.</x:v>
      </x:c>
      <x:c r="C30" s="3"/>
      <x:c r="D30" s="3"/>
    </x:row>
    <x:row r="31" ht="46" customHeight="1">
      <x:c r="A31" s="29" t="str">
        <x:v>Audio</x:v>
      </x:c>
      <x:c r="B31" s="3" t="str">
        <x:v>Keep speech clear. Desk sounds, paper flips, timer taps or tea-cup sounds can support the opening action. Use a quiet licensed music bed if needed; no specific trending track is assumed.</x:v>
      </x:c>
      <x:c r="C31" s="3"/>
      <x:c r="D31" s="3"/>
    </x:row>
    <x:row r="32" ht="46" customHeight="1">
      <x:c r="A32" s="29" t="str">
        <x:v>Product prerequisites</x:v>
      </x:c>
      <x:c r="B32" s="3" t="str">
        <x:v>BOFU scripts specify real routes and current access details. Amber prerequisite cells mark named tools or language/PYQ routes that require a live-feature check before filming.</x:v>
      </x:c>
      <x:c r="C32" s="3"/>
      <x:c r="D32" s="3"/>
    </x:row>
    <x:row r="33" ht="46" customHeight="1">
      <x:c r="A33" s="29" t="str">
        <x:v>Accuracy</x:v>
      </x:c>
      <x:c r="B33" s="3" t="str">
        <x:v>Maths and reasoning questions are original practice. GK source IDs are listed below. Do not add exam-cycle rules, selection claims, fabricated results, prices or scarcity.</x:v>
      </x:c>
      <x:c r="C33" s="3"/>
      <x:c r="D33" s="3"/>
    </x:row>
    <x:row r="34" ht="46" customHeight="1">
      <x:c r="A34" s="29" t="str">
        <x:v>Participation</x:v>
      </x:c>
      <x:c r="B34" s="3" t="str">
        <x:v>Creator scenes are demonstrations. Obtain consent before using identifiable student submissions or results. The screenplay does not claim that suggested interactions have already happened.</x:v>
      </x:c>
      <x:c r="C34" s="3"/>
      <x:c r="D34" s="3"/>
    </x:row>
    <x:row r="35" ht="46" customHeight="1">
      <x:c r="A35" s="29" t="str">
        <x:v>If a feature is absent</x:v>
      </x:c>
      <x:c r="B35" s="3" t="str">
        <x:v>Keep the 45/27/18 allocation by replacing an unavailable BOFU tool demo with an actual practice-start or support-enquiry Reel. A manual teaching tutorial with a save CTA belongs in MOFU.</x:v>
      </x:c>
      <x:c r="C35" s="3"/>
      <x:c r="D35" s="3"/>
    </x:row>
    <x:row r="36">
      <x:c r="A36" s="3"/>
      <x:c r="B36" s="3"/>
      <x:c r="C36" s="3"/>
      <x:c r="D36" s="3"/>
    </x:row>
    <x:row r="37">
      <x:c r="A37" s="3"/>
      <x:c r="B37" s="3"/>
      <x:c r="C37" s="3"/>
      <x:c r="D37" s="3"/>
    </x:row>
    <x:row r="38" ht="32" customHeight="1">
      <x:c r="A38" s="11" t="str">
        <x:v>Source ID</x:v>
      </x:c>
      <x:c r="B38" s="11" t="str">
        <x:v>Source and supported use</x:v>
      </x:c>
      <x:c r="C38" s="3"/>
      <x:c r="D38" s="3"/>
    </x:row>
    <x:row r="39" ht="58" customHeight="1">
      <x:c r="A39" s="3" t="str">
        <x:v>B1</x:v>
      </x:c>
      <x:c r="B39" s="3" t="str">
        <x:v>AxomRank Brand Identity Guide, October 2026. Brand positioning, languages, colours, tagline and documented product vocabulary. Supplied project document.</x:v>
      </x:c>
      <x:c r="C39" s="3"/>
      <x:c r="D39" s="3"/>
    </x:row>
    <x:row r="40" ht="58" customHeight="1">
      <x:c r="A40" s="3" t="str">
        <x:v>B2</x:v>
      </x:c>
      <x:c r="B40" s="3" t="str">
        <x:v>AxomRank Instagram Content Strategy for Assam, 9 October 2026. Community approach, funnel split, publication and truthfulness standards. Supplied project document.</x:v>
      </x:c>
      <x:c r="C40" s="3"/>
      <x:c r="D40" s="3"/>
    </x:row>
    <x:row r="41" ht="58" customHeight="1">
      <x:c r="A41" s="3" t="str">
        <x:v>S1</x:v>
      </x:c>
      <x:c r="B41" s="3" t="str">
        <x:v>Sivasagar district administration — Rang Ghar. Supports Sivasagar location and pavilion use for recreation and sports. https://sivasagar.assam.gov.in/index.php/tourist-place-detail/276</x:v>
      </x:c>
      <x:c r="C41" s="3"/>
      <x:c r="D41" s="3"/>
    </x:row>
    <x:row r="42" ht="58" customHeight="1">
      <x:c r="A42" s="3" t="str">
        <x:v>S2</x:v>
      </x:c>
      <x:c r="B42" s="3" t="str">
        <x:v>Assam Tourism — Kaziranga National Park. Supports the park’s familiar association with the Indian one-horned rhinoceros. https://assamtourism.gov.in/Kaziranga.php</x:v>
      </x:c>
      <x:c r="C42" s="3"/>
      <x:c r="D42" s="3"/>
    </x:row>
    <x:row r="43" ht="58" customHeight="1">
      <x:c r="A43" s="3" t="str">
        <x:v>S3</x:v>
      </x:c>
      <x:c r="B43" s="3" t="str">
        <x:v>UNESCO — Manas Wildlife Sanctuary. Supports the Himalayan foothill setting used as the location clue. https://whc.unesco.org/en/list/338/</x:v>
      </x:c>
      <x:c r="C43" s="3"/>
      <x:c r="D43" s="3"/>
    </x:row>
    <x:row r="44" ht="58" customHeight="1">
      <x:c r="A44" s="3" t="str">
        <x:v>S4</x:v>
      </x:c>
      <x:c r="B44" s="3" t="str">
        <x:v>Majuli district administration — District at a glance. Supports Majuli’s connection to the Brahmaputra river. https://majuli.assam.gov.in/about-district/district-glance</x:v>
      </x:c>
      <x:c r="C44" s="3"/>
      <x:c r="D44" s="3"/>
    </x:row>
    <x:row r="45" ht="58" customHeight="1">
      <x:c r="A45" s="3" t="str">
        <x:v>S5</x:v>
      </x:c>
      <x:c r="B45" s="3" t="str">
        <x:v>UNESCO — Kaziranga National Park. Supports the World Heritage inscription year 1985; this is not the park’s establishment date. https://whc.unesco.org/en/list/337/</x:v>
      </x:c>
      <x:c r="C45" s="3"/>
      <x:c r="D45" s="3"/>
    </x:row>
    <x:row r="46">
      <x:c r="A46" s="3"/>
      <x:c r="B46" s="3"/>
      <x:c r="C46" s="3"/>
      <x:c r="D46" s="3"/>
    </x:row>
    <x:row r="47">
      <x:c r="A47" s="3"/>
      <x:c r="B47" s="3"/>
      <x:c r="C47" s="3"/>
      <x:c r="D47" s="3"/>
    </x:row>
    <x:row r="48">
      <x:c r="A48" s="3"/>
      <x:c r="B48" s="3"/>
      <x:c r="C48" s="3"/>
      <x:c r="D48" s="3"/>
    </x:row>
    <x:row r="49">
      <x:c r="A49" s="3"/>
      <x:c r="B49" s="3"/>
      <x:c r="C49" s="3"/>
      <x:c r="D49" s="3"/>
    </x:row>
    <x:row r="50">
      <x:c r="A50" s="3"/>
      <x:c r="B50" s="3"/>
      <x:c r="C50" s="3"/>
      <x:c r="D50" s="3"/>
    </x:row>
  </x:sheetData>
  <x:pageMargins left="0.7" right="0.7" top="0.75" bottom="0.75" header="0.3" footer="0.3"/>
</x:worksheet>
</file>